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nis\Documents\"/>
    </mc:Choice>
  </mc:AlternateContent>
  <xr:revisionPtr revIDLastSave="0" documentId="8_{70306D61-B5B4-4962-AEAA-AB26F3BE6BF7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1" i="1" l="1"/>
  <c r="Q39" i="1"/>
  <c r="R35" i="1"/>
  <c r="P35" i="1"/>
  <c r="O35" i="1"/>
  <c r="N35" i="1"/>
  <c r="H35" i="1"/>
  <c r="M34" i="1"/>
  <c r="J34" i="1"/>
  <c r="Q34" i="1" s="1"/>
  <c r="S34" i="1" s="1"/>
  <c r="Q33" i="1"/>
  <c r="S33" i="1" s="1"/>
  <c r="M33" i="1"/>
  <c r="J33" i="1"/>
  <c r="M32" i="1"/>
  <c r="J32" i="1"/>
  <c r="Q32" i="1" s="1"/>
  <c r="S32" i="1" s="1"/>
  <c r="M31" i="1"/>
  <c r="J31" i="1"/>
  <c r="Q31" i="1" s="1"/>
  <c r="S31" i="1" s="1"/>
  <c r="Q29" i="1"/>
  <c r="S29" i="1" s="1"/>
  <c r="M29" i="1"/>
  <c r="J29" i="1"/>
  <c r="M28" i="1"/>
  <c r="J28" i="1"/>
  <c r="Q28" i="1" s="1"/>
  <c r="S28" i="1" s="1"/>
  <c r="M27" i="1"/>
  <c r="J27" i="1"/>
  <c r="Q27" i="1" s="1"/>
  <c r="S27" i="1" s="1"/>
  <c r="Q26" i="1"/>
  <c r="S26" i="1" s="1"/>
  <c r="M26" i="1"/>
  <c r="J26" i="1"/>
  <c r="M25" i="1"/>
  <c r="J25" i="1"/>
  <c r="Q25" i="1" s="1"/>
  <c r="S25" i="1" s="1"/>
  <c r="M23" i="1"/>
  <c r="J23" i="1"/>
  <c r="Q23" i="1" s="1"/>
  <c r="S23" i="1" s="1"/>
  <c r="Q22" i="1"/>
  <c r="S22" i="1" s="1"/>
  <c r="M22" i="1"/>
  <c r="J22" i="1"/>
  <c r="M21" i="1"/>
  <c r="J21" i="1"/>
  <c r="Q21" i="1" s="1"/>
  <c r="S21" i="1" s="1"/>
  <c r="M20" i="1"/>
  <c r="J20" i="1"/>
  <c r="Q20" i="1" s="1"/>
  <c r="S20" i="1" s="1"/>
  <c r="Q19" i="1"/>
  <c r="S19" i="1" s="1"/>
  <c r="M19" i="1"/>
  <c r="J19" i="1"/>
  <c r="M18" i="1"/>
  <c r="J18" i="1"/>
  <c r="Q18" i="1" s="1"/>
  <c r="S18" i="1" s="1"/>
  <c r="M17" i="1"/>
  <c r="J17" i="1"/>
  <c r="Q17" i="1" s="1"/>
  <c r="S17" i="1" s="1"/>
  <c r="Q15" i="1"/>
  <c r="S15" i="1" s="1"/>
  <c r="M15" i="1"/>
  <c r="J15" i="1"/>
  <c r="M14" i="1"/>
  <c r="J14" i="1"/>
  <c r="Q14" i="1" s="1"/>
  <c r="S14" i="1" s="1"/>
  <c r="M13" i="1"/>
  <c r="J13" i="1"/>
  <c r="Q13" i="1" s="1"/>
  <c r="S13" i="1" s="1"/>
  <c r="Q12" i="1"/>
  <c r="S12" i="1" s="1"/>
  <c r="M12" i="1"/>
  <c r="J12" i="1"/>
  <c r="M10" i="1"/>
  <c r="J10" i="1"/>
  <c r="Q10" i="1" s="1"/>
  <c r="S10" i="1" s="1"/>
  <c r="M9" i="1"/>
  <c r="J9" i="1"/>
  <c r="Q9" i="1" s="1"/>
  <c r="S9" i="1" s="1"/>
  <c r="Q8" i="1"/>
  <c r="S8" i="1" s="1"/>
  <c r="M8" i="1"/>
  <c r="J8" i="1"/>
  <c r="M7" i="1"/>
  <c r="J7" i="1"/>
  <c r="Q7" i="1" s="1"/>
  <c r="S7" i="1" s="1"/>
  <c r="M6" i="1"/>
  <c r="M35" i="1" s="1"/>
  <c r="J6" i="1"/>
  <c r="J35" i="1" s="1"/>
  <c r="Q37" i="1" l="1"/>
  <c r="Q38" i="1"/>
  <c r="Q6" i="1"/>
  <c r="Q40" i="1" l="1"/>
  <c r="S6" i="1"/>
  <c r="Q35" i="1"/>
  <c r="Q42" i="1" l="1"/>
  <c r="S35" i="1"/>
</calcChain>
</file>

<file path=xl/sharedStrings.xml><?xml version="1.0" encoding="utf-8"?>
<sst xmlns="http://schemas.openxmlformats.org/spreadsheetml/2006/main" count="191" uniqueCount="148">
  <si>
    <t>PRESUPUESTO DE PROYECTO — MORTAL CODE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</si>
  <si>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</si>
  <si>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</si>
  <si>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</si>
  <si>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</si>
  <si>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</si>
  <si>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</si>
  <si>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DESCRIPCIÓN</t>
  </si>
  <si>
    <t>ESTADO</t>
  </si>
  <si>
    <t>FECHA INICIO
PLANIFICADA</t>
  </si>
  <si>
    <t>FECHA INICIO
REAL</t>
  </si>
  <si>
    <t>FECHA
FIN</t>
  </si>
  <si>
    <t>HORAS</t>
  </si>
  <si>
    <t>VALOR
HORA</t>
  </si>
  <si>
    <t>TOTAL
MANO DE OBRA</t>
  </si>
  <si>
    <t>UNIDADES</t>
  </si>
  <si>
    <t>VALOR
UNIDAD</t>
  </si>
  <si>
    <t>TOTAL
MATERIALES</t>
  </si>
  <si>
    <t>VIAJES</t>
  </si>
  <si>
    <t>EQUIPOS</t>
  </si>
  <si>
    <t>MISCELÁNEOS</t>
  </si>
  <si>
    <t>PRESUPUESTO</t>
  </si>
  <si>
    <t>REAL</t>
  </si>
  <si>
    <t>DIFERENCIA
(Menos / Más)</t>
  </si>
  <si>
    <t xml:space="preserve">  FASE 1 — Concepción e Inicio del Proyecto</t>
  </si>
  <si>
    <t>1.1</t>
  </si>
  <si>
    <t>Definición del problema</t>
  </si>
  <si>
    <t>Completo</t>
  </si>
  <si>
    <t>02/14</t>
  </si>
  <si>
    <t>01/02/25</t>
  </si>
  <si>
    <t>01/11</t>
  </si>
  <si>
    <t>1.2</t>
  </si>
  <si>
    <t>Definición de objetivos</t>
  </si>
  <si>
    <t>01/07/25</t>
  </si>
  <si>
    <t>1.3</t>
  </si>
  <si>
    <t>Investigación de requisitos</t>
  </si>
  <si>
    <t>01/10/25</t>
  </si>
  <si>
    <t>02/23</t>
  </si>
  <si>
    <t>1.4</t>
  </si>
  <si>
    <t>Identificación de Stakeholders</t>
  </si>
  <si>
    <t>01/20</t>
  </si>
  <si>
    <t>1.5</t>
  </si>
  <si>
    <t>Inicio del proyecto</t>
  </si>
  <si>
    <t>01/16/25</t>
  </si>
  <si>
    <t>01/29</t>
  </si>
  <si>
    <t xml:space="preserve">  FASE 2 — Definición y Planificación del Proyecto</t>
  </si>
  <si>
    <t>2.1</t>
  </si>
  <si>
    <t>Definición del alcance del proyecto</t>
  </si>
  <si>
    <t>En Progreso</t>
  </si>
  <si>
    <t>02/21</t>
  </si>
  <si>
    <t>01/19/25</t>
  </si>
  <si>
    <t>02/01</t>
  </si>
  <si>
    <t>2.2</t>
  </si>
  <si>
    <t>Requerimientos funcionales y no funcionales</t>
  </si>
  <si>
    <t>02/26</t>
  </si>
  <si>
    <t>01/22/25</t>
  </si>
  <si>
    <t>02/09</t>
  </si>
  <si>
    <t>2.3</t>
  </si>
  <si>
    <t>Diseño UX y experiencia de usuario</t>
  </si>
  <si>
    <t>02/17</t>
  </si>
  <si>
    <t>01/28/25</t>
  </si>
  <si>
    <t>02/06</t>
  </si>
  <si>
    <t>2.4</t>
  </si>
  <si>
    <t>Selección de herramientas tecnológicas</t>
  </si>
  <si>
    <t>01/31/25</t>
  </si>
  <si>
    <t>02/02</t>
  </si>
  <si>
    <t xml:space="preserve">  FASE 3 — Lanzamiento y Ejecución (Desarrollo)</t>
  </si>
  <si>
    <t>3.1</t>
  </si>
  <si>
    <t>Creación de estructura del proyecto y escenas</t>
  </si>
  <si>
    <t>03/10</t>
  </si>
  <si>
    <t>02/04/25</t>
  </si>
  <si>
    <t>02/12</t>
  </si>
  <si>
    <t>3.2</t>
  </si>
  <si>
    <t>Sistema de navegación entre pantallas</t>
  </si>
  <si>
    <t>No Iniciado</t>
  </si>
  <si>
    <t>03/11</t>
  </si>
  <si>
    <t>02/06/25</t>
  </si>
  <si>
    <t>3.3</t>
  </si>
  <si>
    <t>Sistema de preguntas y validación</t>
  </si>
  <si>
    <t>03/12</t>
  </si>
  <si>
    <t>02/18/25</t>
  </si>
  <si>
    <t>02/20</t>
  </si>
  <si>
    <t>3.4</t>
  </si>
  <si>
    <t>Progresión de niveles y puntuación</t>
  </si>
  <si>
    <t>03/13</t>
  </si>
  <si>
    <t>3.5</t>
  </si>
  <si>
    <t>Sistema de guardado de progreso</t>
  </si>
  <si>
    <t>03/14</t>
  </si>
  <si>
    <t>3.6</t>
  </si>
  <si>
    <t>Integración sonora y efectos visuales</t>
  </si>
  <si>
    <t>03/15</t>
  </si>
  <si>
    <t>02/21/25</t>
  </si>
  <si>
    <t>3.7</t>
  </si>
  <si>
    <t>Implementación de interfaz final (UI definitiva)</t>
  </si>
  <si>
    <t>03/16</t>
  </si>
  <si>
    <t>02/22/25</t>
  </si>
  <si>
    <t xml:space="preserve">  FASE 4 — Desempeño / Monitoreo y Pruebas</t>
  </si>
  <si>
    <t>4.1</t>
  </si>
  <si>
    <t>Pruebas funcionales internas en PC</t>
  </si>
  <si>
    <t>03/29</t>
  </si>
  <si>
    <t>02/25/25</t>
  </si>
  <si>
    <t>03/26</t>
  </si>
  <si>
    <t>4.2</t>
  </si>
  <si>
    <t>Corrección de errores y optimización</t>
  </si>
  <si>
    <t>03/30</t>
  </si>
  <si>
    <t>02/28</t>
  </si>
  <si>
    <t>4.3</t>
  </si>
  <si>
    <t>Pruebas con usuarios externos</t>
  </si>
  <si>
    <t>03/31</t>
  </si>
  <si>
    <t>02/26/25</t>
  </si>
  <si>
    <t>03/03</t>
  </si>
  <si>
    <t>4.4</t>
  </si>
  <si>
    <t>Documentación final y preparación de entrega</t>
  </si>
  <si>
    <t>04/01</t>
  </si>
  <si>
    <t>03/06</t>
  </si>
  <si>
    <t>4.5</t>
  </si>
  <si>
    <t>Entrega oficial del proyecto</t>
  </si>
  <si>
    <t>04/02</t>
  </si>
  <si>
    <t>03/03/25</t>
  </si>
  <si>
    <t xml:space="preserve">  FASE 5 — Implementación y Cierre</t>
  </si>
  <si>
    <t>5.1</t>
  </si>
  <si>
    <t>Preparación de assets para Play Store</t>
  </si>
  <si>
    <t>05/16</t>
  </si>
  <si>
    <t>—</t>
  </si>
  <si>
    <t>05/20</t>
  </si>
  <si>
    <t>5.2</t>
  </si>
  <si>
    <t>Generación del AAB firmado y prueba final</t>
  </si>
  <si>
    <t>05/18</t>
  </si>
  <si>
    <t>05/22</t>
  </si>
  <si>
    <t>5.3</t>
  </si>
  <si>
    <t>Publicación en Google Play Store</t>
  </si>
  <si>
    <t>05/23</t>
  </si>
  <si>
    <t>05/28</t>
  </si>
  <si>
    <t>5.4</t>
  </si>
  <si>
    <t>Entrega oficial y cierre formal del proyecto</t>
  </si>
  <si>
    <t>05/30</t>
  </si>
  <si>
    <t>SUBTOTAL</t>
  </si>
  <si>
    <t>TOTAL PROYECTO — 25 actividades</t>
  </si>
  <si>
    <t>Total Mano de Obra:</t>
  </si>
  <si>
    <t>Total Materiales:</t>
  </si>
  <si>
    <t>Total Costos Fijos:</t>
  </si>
  <si>
    <t>PRESUPUESTO TOTAL:</t>
  </si>
  <si>
    <t>EJECUTADO REAL:</t>
  </si>
  <si>
    <t>DIFERENCIA TOTAL:</t>
  </si>
  <si>
    <t>✓ Completo</t>
  </si>
  <si>
    <t>▶ En Progreso</t>
  </si>
  <si>
    <t>◌ No Iniciado</t>
  </si>
  <si>
    <t>Celda editable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</si>
</sst>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;\(#,##0\)"/>
  </numFmts>
  <fonts count="2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0"/>
      <color rgb="FF1F3864"/>
      <name val="Calibri"/>
    </font>
    <font>
      <b/>
      <sz val="10"/>
      <color rgb="FF17375E"/>
      <name val="Calibri"/>
    </font>
    <font>
      <sz val="10"/>
      <color rgb="FF000000"/>
      <name val="Calibri"/>
    </font>
    <font>
      <b/>
      <sz val="9"/>
      <color rgb="FF375623"/>
      <name val="Calibri"/>
    </font>
    <font>
      <sz val="10"/>
      <color rgb="FF17375E"/>
      <name val="Calibri"/>
    </font>
    <font>
      <sz val="10"/>
      <color rgb="FF595959"/>
      <name val="Calibri"/>
    </font>
    <font>
      <b/>
      <sz val="10"/>
      <color rgb="FF9C0006"/>
      <name val="Calibri"/>
    </font>
    <font>
      <b/>
      <sz val="9"/>
      <color rgb="FF2F5496"/>
      <name val="Calibri"/>
    </font>
    <font>
      <b/>
      <sz val="9"/>
      <color rgb="FF7F6000"/>
      <name val="Calibri"/>
    </font>
    <font>
      <b/>
      <sz val="10"/>
      <color rgb="FFFFFFFF"/>
      <name val="Calibri"/>
    </font>
    <font>
      <sz val="10"/>
      <color rgb="FF1F3864"/>
      <name val="Calibri"/>
    </font>
    <font>
      <b/>
      <sz val="8"/>
      <color rgb="FF375623"/>
      <name val="Calibri"/>
    </font>
    <font>
      <b/>
      <sz val="8"/>
      <color rgb="FF2F5496"/>
      <name val="Calibri"/>
    </font>
    <font>
      <b/>
      <sz val="8"/>
      <color rgb="FF7F6000"/>
      <name val="Calibri"/>
    </font>
    <font>
      <b/>
      <sz val="8"/>
      <color rgb="FF17375E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0FF"/>
      </patternFill>
    </fill>
    <fill>
      <patternFill patternType="solid">
        <fgColor rgb="FFF2F7FF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medium">
        <color rgb="FFD0D0D0"/>
      </left>
      <right style="thin">
        <color rgb="FFD0D0D0"/>
      </right>
      <top/>
      <bottom style="hair">
        <color rgb="FFD0D0D0"/>
      </bottom>
      <diagonal/>
    </border>
    <border>
      <left style="thin">
        <color rgb="FFD0D0D0"/>
      </left>
      <right style="thin">
        <color rgb="FFD0D0D0"/>
      </right>
      <top/>
      <bottom style="hair">
        <color rgb="FFD0D0D0"/>
      </bottom>
      <diagonal/>
    </border>
    <border>
      <left style="thin">
        <color rgb="FFD0D0D0"/>
      </left>
      <right style="medium">
        <color rgb="FFD0D0D0"/>
      </right>
      <top/>
      <bottom style="hair">
        <color rgb="FFD0D0D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164" fontId="7" fillId="6" borderId="5" xfId="0" applyNumberFormat="1" applyFont="1" applyFill="1" applyBorder="1" applyAlignment="1">
      <alignment horizontal="center" vertical="center"/>
    </xf>
    <xf numFmtId="3" fontId="9" fillId="8" borderId="5" xfId="0" applyNumberFormat="1" applyFont="1" applyFill="1" applyBorder="1" applyAlignment="1">
      <alignment horizontal="right" vertical="center"/>
    </xf>
    <xf numFmtId="3" fontId="5" fillId="6" borderId="6" xfId="0" applyNumberFormat="1" applyFont="1" applyFill="1" applyBorder="1" applyAlignment="1">
      <alignment horizontal="right" vertical="center"/>
    </xf>
    <xf numFmtId="3" fontId="7" fillId="6" borderId="5" xfId="0" applyNumberFormat="1" applyFont="1" applyFill="1" applyBorder="1" applyAlignment="1">
      <alignment horizontal="right" vertical="center"/>
    </xf>
    <xf numFmtId="3" fontId="9" fillId="8" borderId="6" xfId="0" applyNumberFormat="1" applyFont="1" applyFill="1" applyBorder="1" applyAlignment="1">
      <alignment horizontal="right" vertical="center"/>
    </xf>
    <xf numFmtId="3" fontId="5" fillId="6" borderId="5" xfId="0" applyNumberFormat="1" applyFont="1" applyFill="1" applyBorder="1" applyAlignment="1">
      <alignment horizontal="right" vertical="center"/>
    </xf>
    <xf numFmtId="3" fontId="10" fillId="8" borderId="5" xfId="0" applyNumberFormat="1" applyFont="1" applyFill="1" applyBorder="1" applyAlignment="1">
      <alignment horizontal="right" vertical="center"/>
    </xf>
    <xf numFmtId="165" fontId="11" fillId="6" borderId="6" xfId="0" applyNumberFormat="1" applyFont="1" applyFill="1" applyBorder="1" applyAlignment="1">
      <alignment horizontal="right" vertical="center"/>
    </xf>
    <xf numFmtId="0" fontId="6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left" vertical="center"/>
    </xf>
    <xf numFmtId="0" fontId="7" fillId="9" borderId="5" xfId="0" applyFont="1" applyFill="1" applyBorder="1" applyAlignment="1">
      <alignment horizontal="center" vertical="center"/>
    </xf>
    <xf numFmtId="164" fontId="7" fillId="9" borderId="5" xfId="0" applyNumberFormat="1" applyFont="1" applyFill="1" applyBorder="1" applyAlignment="1">
      <alignment horizontal="center" vertical="center"/>
    </xf>
    <xf numFmtId="3" fontId="5" fillId="9" borderId="6" xfId="0" applyNumberFormat="1" applyFont="1" applyFill="1" applyBorder="1" applyAlignment="1">
      <alignment horizontal="right" vertical="center"/>
    </xf>
    <xf numFmtId="3" fontId="7" fillId="9" borderId="5" xfId="0" applyNumberFormat="1" applyFont="1" applyFill="1" applyBorder="1" applyAlignment="1">
      <alignment horizontal="right" vertical="center"/>
    </xf>
    <xf numFmtId="3" fontId="5" fillId="9" borderId="5" xfId="0" applyNumberFormat="1" applyFont="1" applyFill="1" applyBorder="1" applyAlignment="1">
      <alignment horizontal="right" vertical="center"/>
    </xf>
    <xf numFmtId="165" fontId="11" fillId="9" borderId="6" xfId="0" applyNumberFormat="1" applyFont="1" applyFill="1" applyBorder="1" applyAlignment="1">
      <alignment horizontal="right" vertical="center"/>
    </xf>
    <xf numFmtId="0" fontId="12" fillId="8" borderId="5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165" fontId="15" fillId="0" borderId="0" xfId="0" applyNumberFormat="1" applyFont="1" applyAlignment="1">
      <alignment horizontal="right" vertical="center"/>
    </xf>
    <xf numFmtId="165" fontId="5" fillId="5" borderId="3" xfId="0" applyNumberFormat="1" applyFont="1" applyFill="1" applyBorder="1" applyAlignment="1">
      <alignment horizontal="right" vertical="center"/>
    </xf>
    <xf numFmtId="165" fontId="11" fillId="5" borderId="3" xfId="0" applyNumberFormat="1" applyFont="1" applyFill="1" applyBorder="1" applyAlignment="1">
      <alignment horizontal="right" vertical="center"/>
    </xf>
    <xf numFmtId="0" fontId="16" fillId="7" borderId="7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8" fillId="10" borderId="7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5" fillId="5" borderId="3" xfId="0" applyFont="1" applyFill="1" applyBorder="1" applyAlignment="1">
      <alignment horizontal="right" vertical="center"/>
    </xf>
    <xf numFmtId="0" fontId="0" fillId="0" borderId="0" xfId="0"/>
    <xf numFmtId="0" fontId="5" fillId="5" borderId="3" xfId="0" applyFont="1" applyFill="1" applyBorder="1" applyAlignment="1">
      <alignment horizontal="left" vertical="center"/>
    </xf>
    <xf numFmtId="0" fontId="0" fillId="5" borderId="0" xfId="0" applyFill="1"/>
    <xf numFmtId="0" fontId="2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0" xfId="0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45"/>
  <sheetViews>
    <sheetView tabSelected="1" workbookViewId="0">
      <pane xSplit="1" ySplit="4" topLeftCell="F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" customWidth="1"/>
    <col min="2" max="2" width="7" customWidth="1"/>
    <col min="3" max="3" width="32" customWidth="1"/>
    <col min="4" max="4" width="13" customWidth="1"/>
    <col min="5" max="5" width="11" customWidth="1"/>
    <col min="6" max="6" width="13" customWidth="1"/>
    <col min="7" max="7" width="10" customWidth="1"/>
    <col min="8" max="8" width="8" customWidth="1"/>
    <col min="9" max="10" width="14" customWidth="1"/>
    <col min="11" max="11" width="9" customWidth="1"/>
    <col min="12" max="12" width="13" customWidth="1"/>
    <col min="13" max="13" width="14" customWidth="1"/>
    <col min="14" max="16" width="11" customWidth="1"/>
    <col min="17" max="18" width="14" customWidth="1"/>
    <col min="19" max="19" width="20" customWidth="1"/>
  </cols>
  <sheetData>
    <row r="1" spans="2:19" ht="33.950000000000003" customHeight="1" x14ac:dyDescent="0.25">
      <c r="B1" s="4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2:19" ht="20.100000000000001" customHeight="1" x14ac:dyDescent="0.25">
      <c r="B2" s="41" t="s">
        <v>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2:19" ht="21.95" customHeight="1" x14ac:dyDescent="0.25">
      <c r="B3" s="35"/>
      <c r="C3" s="36"/>
      <c r="D3" s="36"/>
      <c r="E3" s="36"/>
      <c r="F3" s="36"/>
      <c r="G3" s="36"/>
      <c r="H3" s="43" t="s">
        <v>2</v>
      </c>
      <c r="I3" s="44"/>
      <c r="J3" s="44"/>
      <c r="K3" s="43" t="s">
        <v>3</v>
      </c>
      <c r="L3" s="44"/>
      <c r="M3" s="44"/>
      <c r="N3" s="43" t="s">
        <v>4</v>
      </c>
      <c r="O3" s="44"/>
      <c r="P3" s="44"/>
      <c r="Q3" s="43" t="s">
        <v>5</v>
      </c>
      <c r="R3" s="44"/>
      <c r="S3" s="44"/>
    </row>
    <row r="4" spans="2:19" ht="38.1" customHeight="1" x14ac:dyDescent="0.25"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</row>
    <row r="5" spans="2:19" ht="21.95" customHeight="1" x14ac:dyDescent="0.25">
      <c r="B5" s="39" t="s">
        <v>24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</row>
    <row r="6" spans="2:19" ht="21.95" customHeight="1" x14ac:dyDescent="0.25">
      <c r="B6" s="2" t="s">
        <v>25</v>
      </c>
      <c r="C6" s="3" t="s">
        <v>26</v>
      </c>
      <c r="D6" s="4" t="s">
        <v>27</v>
      </c>
      <c r="E6" s="5" t="s">
        <v>28</v>
      </c>
      <c r="F6" s="5" t="s">
        <v>29</v>
      </c>
      <c r="G6" s="5" t="s">
        <v>30</v>
      </c>
      <c r="H6" s="6">
        <v>5</v>
      </c>
      <c r="I6" s="7">
        <v>16000</v>
      </c>
      <c r="J6" s="8">
        <f>H6*I6</f>
        <v>80000</v>
      </c>
      <c r="K6" s="6">
        <v>0</v>
      </c>
      <c r="L6" s="9">
        <v>0</v>
      </c>
      <c r="M6" s="8">
        <f>K6*L6</f>
        <v>0</v>
      </c>
      <c r="N6" s="9">
        <v>0</v>
      </c>
      <c r="O6" s="9">
        <v>0</v>
      </c>
      <c r="P6" s="10">
        <v>5000</v>
      </c>
      <c r="Q6" s="11">
        <f>J6+M6+N6+O6+P6</f>
        <v>85000</v>
      </c>
      <c r="R6" s="12">
        <v>0</v>
      </c>
      <c r="S6" s="13">
        <f>R6-Q6</f>
        <v>-85000</v>
      </c>
    </row>
    <row r="7" spans="2:19" ht="21.95" customHeight="1" x14ac:dyDescent="0.25">
      <c r="B7" s="14" t="s">
        <v>31</v>
      </c>
      <c r="C7" s="15" t="s">
        <v>32</v>
      </c>
      <c r="D7" s="4" t="s">
        <v>27</v>
      </c>
      <c r="E7" s="16" t="s">
        <v>28</v>
      </c>
      <c r="F7" s="16" t="s">
        <v>33</v>
      </c>
      <c r="G7" s="16" t="s">
        <v>30</v>
      </c>
      <c r="H7" s="17">
        <v>5</v>
      </c>
      <c r="I7" s="7">
        <v>16000</v>
      </c>
      <c r="J7" s="18">
        <f>H7*I7</f>
        <v>80000</v>
      </c>
      <c r="K7" s="17">
        <v>0</v>
      </c>
      <c r="L7" s="19">
        <v>0</v>
      </c>
      <c r="M7" s="18">
        <f>K7*L7</f>
        <v>0</v>
      </c>
      <c r="N7" s="19">
        <v>0</v>
      </c>
      <c r="O7" s="19">
        <v>0</v>
      </c>
      <c r="P7" s="10">
        <v>5000</v>
      </c>
      <c r="Q7" s="20">
        <f>J7+M7+N7+O7+P7</f>
        <v>85000</v>
      </c>
      <c r="R7" s="12">
        <v>0</v>
      </c>
      <c r="S7" s="21">
        <f>R7-Q7</f>
        <v>-85000</v>
      </c>
    </row>
    <row r="8" spans="2:19" ht="21.95" customHeight="1" x14ac:dyDescent="0.25">
      <c r="B8" s="2" t="s">
        <v>34</v>
      </c>
      <c r="C8" s="3" t="s">
        <v>35</v>
      </c>
      <c r="D8" s="4" t="s">
        <v>27</v>
      </c>
      <c r="E8" s="5" t="s">
        <v>28</v>
      </c>
      <c r="F8" s="5" t="s">
        <v>36</v>
      </c>
      <c r="G8" s="5" t="s">
        <v>37</v>
      </c>
      <c r="H8" s="6">
        <v>15</v>
      </c>
      <c r="I8" s="7">
        <v>16000</v>
      </c>
      <c r="J8" s="8">
        <f>H8*I8</f>
        <v>240000</v>
      </c>
      <c r="K8" s="6">
        <v>0</v>
      </c>
      <c r="L8" s="9">
        <v>0</v>
      </c>
      <c r="M8" s="8">
        <f>K8*L8</f>
        <v>0</v>
      </c>
      <c r="N8" s="9">
        <v>0</v>
      </c>
      <c r="O8" s="9">
        <v>0</v>
      </c>
      <c r="P8" s="10">
        <v>5000</v>
      </c>
      <c r="Q8" s="11">
        <f>J8+M8+N8+O8+P8</f>
        <v>245000</v>
      </c>
      <c r="R8" s="12">
        <v>0</v>
      </c>
      <c r="S8" s="13">
        <f>R8-Q8</f>
        <v>-245000</v>
      </c>
    </row>
    <row r="9" spans="2:19" ht="21.95" customHeight="1" x14ac:dyDescent="0.25">
      <c r="B9" s="14" t="s">
        <v>38</v>
      </c>
      <c r="C9" s="15" t="s">
        <v>39</v>
      </c>
      <c r="D9" s="4" t="s">
        <v>27</v>
      </c>
      <c r="E9" s="16" t="s">
        <v>28</v>
      </c>
      <c r="F9" s="16" t="s">
        <v>36</v>
      </c>
      <c r="G9" s="16" t="s">
        <v>40</v>
      </c>
      <c r="H9" s="17">
        <v>4</v>
      </c>
      <c r="I9" s="7">
        <v>16000</v>
      </c>
      <c r="J9" s="18">
        <f>H9*I9</f>
        <v>64000</v>
      </c>
      <c r="K9" s="17">
        <v>0</v>
      </c>
      <c r="L9" s="19">
        <v>0</v>
      </c>
      <c r="M9" s="18">
        <f>K9*L9</f>
        <v>0</v>
      </c>
      <c r="N9" s="19">
        <v>0</v>
      </c>
      <c r="O9" s="19">
        <v>0</v>
      </c>
      <c r="P9" s="10">
        <v>3000</v>
      </c>
      <c r="Q9" s="20">
        <f>J9+M9+N9+O9+P9</f>
        <v>67000</v>
      </c>
      <c r="R9" s="12">
        <v>0</v>
      </c>
      <c r="S9" s="21">
        <f>R9-Q9</f>
        <v>-67000</v>
      </c>
    </row>
    <row r="10" spans="2:19" ht="21.95" customHeight="1" x14ac:dyDescent="0.25">
      <c r="B10" s="2" t="s">
        <v>41</v>
      </c>
      <c r="C10" s="3" t="s">
        <v>42</v>
      </c>
      <c r="D10" s="4" t="s">
        <v>27</v>
      </c>
      <c r="E10" s="5" t="s">
        <v>28</v>
      </c>
      <c r="F10" s="5" t="s">
        <v>43</v>
      </c>
      <c r="G10" s="5" t="s">
        <v>44</v>
      </c>
      <c r="H10" s="6">
        <v>8</v>
      </c>
      <c r="I10" s="7">
        <v>16000</v>
      </c>
      <c r="J10" s="8">
        <f>H10*I10</f>
        <v>128000</v>
      </c>
      <c r="K10" s="6">
        <v>0</v>
      </c>
      <c r="L10" s="9">
        <v>0</v>
      </c>
      <c r="M10" s="8">
        <f>K10*L10</f>
        <v>0</v>
      </c>
      <c r="N10" s="9">
        <v>0</v>
      </c>
      <c r="O10" s="9">
        <v>0</v>
      </c>
      <c r="P10" s="10">
        <v>2000</v>
      </c>
      <c r="Q10" s="11">
        <f>J10+M10+N10+O10+P10</f>
        <v>130000</v>
      </c>
      <c r="R10" s="12">
        <v>0</v>
      </c>
      <c r="S10" s="13">
        <f>R10-Q10</f>
        <v>-130000</v>
      </c>
    </row>
    <row r="11" spans="2:19" ht="21.95" customHeight="1" x14ac:dyDescent="0.25">
      <c r="B11" s="39" t="s">
        <v>45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</row>
    <row r="12" spans="2:19" ht="21.95" customHeight="1" x14ac:dyDescent="0.25">
      <c r="B12" s="2" t="s">
        <v>46</v>
      </c>
      <c r="C12" s="3" t="s">
        <v>47</v>
      </c>
      <c r="D12" s="22" t="s">
        <v>48</v>
      </c>
      <c r="E12" s="5" t="s">
        <v>49</v>
      </c>
      <c r="F12" s="5" t="s">
        <v>50</v>
      </c>
      <c r="G12" s="5" t="s">
        <v>51</v>
      </c>
      <c r="H12" s="6">
        <v>12</v>
      </c>
      <c r="I12" s="7">
        <v>16000</v>
      </c>
      <c r="J12" s="8">
        <f>H12*I12</f>
        <v>192000</v>
      </c>
      <c r="K12" s="6">
        <v>0</v>
      </c>
      <c r="L12" s="9">
        <v>0</v>
      </c>
      <c r="M12" s="8">
        <f>K12*L12</f>
        <v>0</v>
      </c>
      <c r="N12" s="9">
        <v>0</v>
      </c>
      <c r="O12" s="9">
        <v>0</v>
      </c>
      <c r="P12" s="10">
        <v>5000</v>
      </c>
      <c r="Q12" s="11">
        <f>J12+M12+N12+O12+P12</f>
        <v>197000</v>
      </c>
      <c r="R12" s="12">
        <v>0</v>
      </c>
      <c r="S12" s="13">
        <f>R12-Q12</f>
        <v>-197000</v>
      </c>
    </row>
    <row r="13" spans="2:19" ht="21.95" customHeight="1" x14ac:dyDescent="0.25">
      <c r="B13" s="14" t="s">
        <v>52</v>
      </c>
      <c r="C13" s="15" t="s">
        <v>53</v>
      </c>
      <c r="D13" s="22" t="s">
        <v>48</v>
      </c>
      <c r="E13" s="16" t="s">
        <v>54</v>
      </c>
      <c r="F13" s="16" t="s">
        <v>55</v>
      </c>
      <c r="G13" s="16" t="s">
        <v>56</v>
      </c>
      <c r="H13" s="17">
        <v>15</v>
      </c>
      <c r="I13" s="7">
        <v>16000</v>
      </c>
      <c r="J13" s="18">
        <f>H13*I13</f>
        <v>240000</v>
      </c>
      <c r="K13" s="17">
        <v>0</v>
      </c>
      <c r="L13" s="19">
        <v>0</v>
      </c>
      <c r="M13" s="18">
        <f>K13*L13</f>
        <v>0</v>
      </c>
      <c r="N13" s="19">
        <v>0</v>
      </c>
      <c r="O13" s="19">
        <v>0</v>
      </c>
      <c r="P13" s="10">
        <v>5000</v>
      </c>
      <c r="Q13" s="20">
        <f>J13+M13+N13+O13+P13</f>
        <v>245000</v>
      </c>
      <c r="R13" s="12">
        <v>0</v>
      </c>
      <c r="S13" s="21">
        <f>R13-Q13</f>
        <v>-245000</v>
      </c>
    </row>
    <row r="14" spans="2:19" ht="21.95" customHeight="1" x14ac:dyDescent="0.25">
      <c r="B14" s="2" t="s">
        <v>57</v>
      </c>
      <c r="C14" s="3" t="s">
        <v>58</v>
      </c>
      <c r="D14" s="22" t="s">
        <v>48</v>
      </c>
      <c r="E14" s="5" t="s">
        <v>59</v>
      </c>
      <c r="F14" s="5" t="s">
        <v>60</v>
      </c>
      <c r="G14" s="5" t="s">
        <v>61</v>
      </c>
      <c r="H14" s="6">
        <v>12</v>
      </c>
      <c r="I14" s="7">
        <v>16000</v>
      </c>
      <c r="J14" s="8">
        <f>H14*I14</f>
        <v>192000</v>
      </c>
      <c r="K14" s="6">
        <v>0</v>
      </c>
      <c r="L14" s="9">
        <v>0</v>
      </c>
      <c r="M14" s="8">
        <f>K14*L14</f>
        <v>0</v>
      </c>
      <c r="N14" s="9">
        <v>0</v>
      </c>
      <c r="O14" s="9">
        <v>0</v>
      </c>
      <c r="P14" s="10">
        <v>8000</v>
      </c>
      <c r="Q14" s="11">
        <f>J14+M14+N14+O14+P14</f>
        <v>200000</v>
      </c>
      <c r="R14" s="12">
        <v>0</v>
      </c>
      <c r="S14" s="13">
        <f>R14-Q14</f>
        <v>-200000</v>
      </c>
    </row>
    <row r="15" spans="2:19" ht="21.95" customHeight="1" x14ac:dyDescent="0.25">
      <c r="B15" s="14" t="s">
        <v>62</v>
      </c>
      <c r="C15" s="15" t="s">
        <v>63</v>
      </c>
      <c r="D15" s="22" t="s">
        <v>48</v>
      </c>
      <c r="E15" s="16" t="s">
        <v>59</v>
      </c>
      <c r="F15" s="16" t="s">
        <v>64</v>
      </c>
      <c r="G15" s="16" t="s">
        <v>65</v>
      </c>
      <c r="H15" s="17">
        <v>10</v>
      </c>
      <c r="I15" s="7">
        <v>16000</v>
      </c>
      <c r="J15" s="18">
        <f>H15*I15</f>
        <v>160000</v>
      </c>
      <c r="K15" s="17">
        <v>0</v>
      </c>
      <c r="L15" s="19">
        <v>0</v>
      </c>
      <c r="M15" s="18">
        <f>K15*L15</f>
        <v>0</v>
      </c>
      <c r="N15" s="19">
        <v>0</v>
      </c>
      <c r="O15" s="19">
        <v>0</v>
      </c>
      <c r="P15" s="10">
        <v>3000</v>
      </c>
      <c r="Q15" s="20">
        <f>J15+M15+N15+O15+P15</f>
        <v>163000</v>
      </c>
      <c r="R15" s="12">
        <v>0</v>
      </c>
      <c r="S15" s="21">
        <f>R15-Q15</f>
        <v>-163000</v>
      </c>
    </row>
    <row r="16" spans="2:19" ht="21.95" customHeight="1" x14ac:dyDescent="0.25">
      <c r="B16" s="39" t="s">
        <v>66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</row>
    <row r="17" spans="2:19" ht="21.95" customHeight="1" x14ac:dyDescent="0.25">
      <c r="B17" s="2" t="s">
        <v>67</v>
      </c>
      <c r="C17" s="3" t="s">
        <v>68</v>
      </c>
      <c r="D17" s="22" t="s">
        <v>48</v>
      </c>
      <c r="E17" s="5" t="s">
        <v>69</v>
      </c>
      <c r="F17" s="5" t="s">
        <v>70</v>
      </c>
      <c r="G17" s="5" t="s">
        <v>71</v>
      </c>
      <c r="H17" s="6">
        <v>20</v>
      </c>
      <c r="I17" s="7">
        <v>16000</v>
      </c>
      <c r="J17" s="8">
        <f t="shared" ref="J17:J23" si="0">H17*I17</f>
        <v>320000</v>
      </c>
      <c r="K17" s="6">
        <v>0</v>
      </c>
      <c r="L17" s="9">
        <v>0</v>
      </c>
      <c r="M17" s="8">
        <f t="shared" ref="M17:M23" si="1">K17*L17</f>
        <v>0</v>
      </c>
      <c r="N17" s="9">
        <v>0</v>
      </c>
      <c r="O17" s="9">
        <v>0</v>
      </c>
      <c r="P17" s="10">
        <v>5000</v>
      </c>
      <c r="Q17" s="11">
        <f t="shared" ref="Q17:Q23" si="2">J17+M17+N17+O17+P17</f>
        <v>325000</v>
      </c>
      <c r="R17" s="12">
        <v>0</v>
      </c>
      <c r="S17" s="13">
        <f t="shared" ref="S17:S23" si="3">R17-Q17</f>
        <v>-325000</v>
      </c>
    </row>
    <row r="18" spans="2:19" ht="21.95" customHeight="1" x14ac:dyDescent="0.25">
      <c r="B18" s="14" t="s">
        <v>72</v>
      </c>
      <c r="C18" s="15" t="s">
        <v>73</v>
      </c>
      <c r="D18" s="23" t="s">
        <v>74</v>
      </c>
      <c r="E18" s="16" t="s">
        <v>75</v>
      </c>
      <c r="F18" s="16" t="s">
        <v>76</v>
      </c>
      <c r="G18" s="16" t="s">
        <v>28</v>
      </c>
      <c r="H18" s="17">
        <v>20</v>
      </c>
      <c r="I18" s="7">
        <v>16000</v>
      </c>
      <c r="J18" s="18">
        <f t="shared" si="0"/>
        <v>320000</v>
      </c>
      <c r="K18" s="17">
        <v>0</v>
      </c>
      <c r="L18" s="19">
        <v>0</v>
      </c>
      <c r="M18" s="18">
        <f t="shared" si="1"/>
        <v>0</v>
      </c>
      <c r="N18" s="19">
        <v>0</v>
      </c>
      <c r="O18" s="19">
        <v>0</v>
      </c>
      <c r="P18" s="10">
        <v>10000</v>
      </c>
      <c r="Q18" s="20">
        <f t="shared" si="2"/>
        <v>330000</v>
      </c>
      <c r="R18" s="12">
        <v>0</v>
      </c>
      <c r="S18" s="21">
        <f t="shared" si="3"/>
        <v>-330000</v>
      </c>
    </row>
    <row r="19" spans="2:19" ht="21.95" customHeight="1" x14ac:dyDescent="0.25">
      <c r="B19" s="2" t="s">
        <v>77</v>
      </c>
      <c r="C19" s="3" t="s">
        <v>78</v>
      </c>
      <c r="D19" s="23" t="s">
        <v>74</v>
      </c>
      <c r="E19" s="5" t="s">
        <v>79</v>
      </c>
      <c r="F19" s="5" t="s">
        <v>80</v>
      </c>
      <c r="G19" s="5" t="s">
        <v>81</v>
      </c>
      <c r="H19" s="6">
        <v>25</v>
      </c>
      <c r="I19" s="7">
        <v>16000</v>
      </c>
      <c r="J19" s="8">
        <f t="shared" si="0"/>
        <v>400000</v>
      </c>
      <c r="K19" s="6">
        <v>0</v>
      </c>
      <c r="L19" s="9">
        <v>0</v>
      </c>
      <c r="M19" s="8">
        <f t="shared" si="1"/>
        <v>0</v>
      </c>
      <c r="N19" s="9">
        <v>0</v>
      </c>
      <c r="O19" s="9">
        <v>0</v>
      </c>
      <c r="P19" s="10">
        <v>10000</v>
      </c>
      <c r="Q19" s="11">
        <f t="shared" si="2"/>
        <v>410000</v>
      </c>
      <c r="R19" s="12">
        <v>0</v>
      </c>
      <c r="S19" s="13">
        <f t="shared" si="3"/>
        <v>-410000</v>
      </c>
    </row>
    <row r="20" spans="2:19" ht="21.95" customHeight="1" x14ac:dyDescent="0.25">
      <c r="B20" s="14" t="s">
        <v>82</v>
      </c>
      <c r="C20" s="15" t="s">
        <v>83</v>
      </c>
      <c r="D20" s="23" t="s">
        <v>74</v>
      </c>
      <c r="E20" s="16" t="s">
        <v>84</v>
      </c>
      <c r="F20" s="16" t="s">
        <v>80</v>
      </c>
      <c r="G20" s="16" t="s">
        <v>37</v>
      </c>
      <c r="H20" s="17">
        <v>20</v>
      </c>
      <c r="I20" s="7">
        <v>16000</v>
      </c>
      <c r="J20" s="18">
        <f t="shared" si="0"/>
        <v>320000</v>
      </c>
      <c r="K20" s="17">
        <v>0</v>
      </c>
      <c r="L20" s="19">
        <v>0</v>
      </c>
      <c r="M20" s="18">
        <f t="shared" si="1"/>
        <v>0</v>
      </c>
      <c r="N20" s="19">
        <v>0</v>
      </c>
      <c r="O20" s="19">
        <v>0</v>
      </c>
      <c r="P20" s="10">
        <v>10000</v>
      </c>
      <c r="Q20" s="20">
        <f t="shared" si="2"/>
        <v>330000</v>
      </c>
      <c r="R20" s="12">
        <v>0</v>
      </c>
      <c r="S20" s="21">
        <f t="shared" si="3"/>
        <v>-330000</v>
      </c>
    </row>
    <row r="21" spans="2:19" ht="21.95" customHeight="1" x14ac:dyDescent="0.25">
      <c r="B21" s="2" t="s">
        <v>85</v>
      </c>
      <c r="C21" s="3" t="s">
        <v>86</v>
      </c>
      <c r="D21" s="23" t="s">
        <v>74</v>
      </c>
      <c r="E21" s="5" t="s">
        <v>87</v>
      </c>
      <c r="F21" s="5" t="s">
        <v>80</v>
      </c>
      <c r="G21" s="5" t="s">
        <v>54</v>
      </c>
      <c r="H21" s="6">
        <v>18</v>
      </c>
      <c r="I21" s="7">
        <v>16000</v>
      </c>
      <c r="J21" s="8">
        <f t="shared" si="0"/>
        <v>288000</v>
      </c>
      <c r="K21" s="6">
        <v>0</v>
      </c>
      <c r="L21" s="9">
        <v>0</v>
      </c>
      <c r="M21" s="8">
        <f t="shared" si="1"/>
        <v>0</v>
      </c>
      <c r="N21" s="9">
        <v>0</v>
      </c>
      <c r="O21" s="9">
        <v>0</v>
      </c>
      <c r="P21" s="10">
        <v>8000</v>
      </c>
      <c r="Q21" s="11">
        <f t="shared" si="2"/>
        <v>296000</v>
      </c>
      <c r="R21" s="12">
        <v>0</v>
      </c>
      <c r="S21" s="13">
        <f t="shared" si="3"/>
        <v>-296000</v>
      </c>
    </row>
    <row r="22" spans="2:19" ht="21.95" customHeight="1" x14ac:dyDescent="0.25">
      <c r="B22" s="14" t="s">
        <v>88</v>
      </c>
      <c r="C22" s="15" t="s">
        <v>89</v>
      </c>
      <c r="D22" s="23" t="s">
        <v>74</v>
      </c>
      <c r="E22" s="16" t="s">
        <v>90</v>
      </c>
      <c r="F22" s="16" t="s">
        <v>91</v>
      </c>
      <c r="G22" s="16" t="s">
        <v>37</v>
      </c>
      <c r="H22" s="17">
        <v>12</v>
      </c>
      <c r="I22" s="7">
        <v>16000</v>
      </c>
      <c r="J22" s="18">
        <f t="shared" si="0"/>
        <v>192000</v>
      </c>
      <c r="K22" s="17">
        <v>0</v>
      </c>
      <c r="L22" s="19">
        <v>0</v>
      </c>
      <c r="M22" s="18">
        <f t="shared" si="1"/>
        <v>0</v>
      </c>
      <c r="N22" s="19">
        <v>0</v>
      </c>
      <c r="O22" s="19">
        <v>0</v>
      </c>
      <c r="P22" s="10">
        <v>5000</v>
      </c>
      <c r="Q22" s="20">
        <f t="shared" si="2"/>
        <v>197000</v>
      </c>
      <c r="R22" s="12">
        <v>0</v>
      </c>
      <c r="S22" s="21">
        <f t="shared" si="3"/>
        <v>-197000</v>
      </c>
    </row>
    <row r="23" spans="2:19" ht="21.95" customHeight="1" x14ac:dyDescent="0.25">
      <c r="B23" s="2" t="s">
        <v>92</v>
      </c>
      <c r="C23" s="3" t="s">
        <v>93</v>
      </c>
      <c r="D23" s="23" t="s">
        <v>74</v>
      </c>
      <c r="E23" s="5" t="s">
        <v>94</v>
      </c>
      <c r="F23" s="5" t="s">
        <v>95</v>
      </c>
      <c r="G23" s="5" t="s">
        <v>37</v>
      </c>
      <c r="H23" s="6">
        <v>18</v>
      </c>
      <c r="I23" s="7">
        <v>16000</v>
      </c>
      <c r="J23" s="8">
        <f t="shared" si="0"/>
        <v>288000</v>
      </c>
      <c r="K23" s="6">
        <v>0</v>
      </c>
      <c r="L23" s="9">
        <v>0</v>
      </c>
      <c r="M23" s="8">
        <f t="shared" si="1"/>
        <v>0</v>
      </c>
      <c r="N23" s="9">
        <v>0</v>
      </c>
      <c r="O23" s="9">
        <v>0</v>
      </c>
      <c r="P23" s="10">
        <v>10000</v>
      </c>
      <c r="Q23" s="11">
        <f t="shared" si="2"/>
        <v>298000</v>
      </c>
      <c r="R23" s="12">
        <v>0</v>
      </c>
      <c r="S23" s="13">
        <f t="shared" si="3"/>
        <v>-298000</v>
      </c>
    </row>
    <row r="24" spans="2:19" ht="21.95" customHeight="1" x14ac:dyDescent="0.25">
      <c r="B24" s="39" t="s">
        <v>96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</row>
    <row r="25" spans="2:19" ht="21.95" customHeight="1" x14ac:dyDescent="0.25">
      <c r="B25" s="2" t="s">
        <v>97</v>
      </c>
      <c r="C25" s="3" t="s">
        <v>98</v>
      </c>
      <c r="D25" s="23" t="s">
        <v>74</v>
      </c>
      <c r="E25" s="5" t="s">
        <v>99</v>
      </c>
      <c r="F25" s="5" t="s">
        <v>100</v>
      </c>
      <c r="G25" s="5" t="s">
        <v>101</v>
      </c>
      <c r="H25" s="6">
        <v>15</v>
      </c>
      <c r="I25" s="7">
        <v>16000</v>
      </c>
      <c r="J25" s="8">
        <f>H25*I25</f>
        <v>240000</v>
      </c>
      <c r="K25" s="6">
        <v>0</v>
      </c>
      <c r="L25" s="9">
        <v>0</v>
      </c>
      <c r="M25" s="8">
        <f>K25*L25</f>
        <v>0</v>
      </c>
      <c r="N25" s="9">
        <v>0</v>
      </c>
      <c r="O25" s="9">
        <v>0</v>
      </c>
      <c r="P25" s="10">
        <v>5000</v>
      </c>
      <c r="Q25" s="11">
        <f>J25+M25+N25+O25+P25</f>
        <v>245000</v>
      </c>
      <c r="R25" s="12">
        <v>0</v>
      </c>
      <c r="S25" s="13">
        <f>R25-Q25</f>
        <v>-245000</v>
      </c>
    </row>
    <row r="26" spans="2:19" ht="21.95" customHeight="1" x14ac:dyDescent="0.25">
      <c r="B26" s="14" t="s">
        <v>102</v>
      </c>
      <c r="C26" s="15" t="s">
        <v>103</v>
      </c>
      <c r="D26" s="23" t="s">
        <v>74</v>
      </c>
      <c r="E26" s="16" t="s">
        <v>104</v>
      </c>
      <c r="F26" s="16" t="s">
        <v>100</v>
      </c>
      <c r="G26" s="16" t="s">
        <v>105</v>
      </c>
      <c r="H26" s="17">
        <v>30</v>
      </c>
      <c r="I26" s="7">
        <v>16000</v>
      </c>
      <c r="J26" s="18">
        <f>H26*I26</f>
        <v>480000</v>
      </c>
      <c r="K26" s="17">
        <v>0</v>
      </c>
      <c r="L26" s="19">
        <v>0</v>
      </c>
      <c r="M26" s="18">
        <f>K26*L26</f>
        <v>0</v>
      </c>
      <c r="N26" s="19">
        <v>0</v>
      </c>
      <c r="O26" s="19">
        <v>0</v>
      </c>
      <c r="P26" s="10">
        <v>10000</v>
      </c>
      <c r="Q26" s="20">
        <f>J26+M26+N26+O26+P26</f>
        <v>490000</v>
      </c>
      <c r="R26" s="12">
        <v>0</v>
      </c>
      <c r="S26" s="21">
        <f>R26-Q26</f>
        <v>-490000</v>
      </c>
    </row>
    <row r="27" spans="2:19" ht="21.95" customHeight="1" x14ac:dyDescent="0.25">
      <c r="B27" s="2" t="s">
        <v>106</v>
      </c>
      <c r="C27" s="3" t="s">
        <v>107</v>
      </c>
      <c r="D27" s="23" t="s">
        <v>74</v>
      </c>
      <c r="E27" s="5" t="s">
        <v>108</v>
      </c>
      <c r="F27" s="5" t="s">
        <v>109</v>
      </c>
      <c r="G27" s="5" t="s">
        <v>110</v>
      </c>
      <c r="H27" s="6">
        <v>25</v>
      </c>
      <c r="I27" s="7">
        <v>16000</v>
      </c>
      <c r="J27" s="8">
        <f>H27*I27</f>
        <v>400000</v>
      </c>
      <c r="K27" s="6">
        <v>0</v>
      </c>
      <c r="L27" s="9">
        <v>0</v>
      </c>
      <c r="M27" s="8">
        <f>K27*L27</f>
        <v>0</v>
      </c>
      <c r="N27" s="9">
        <v>0</v>
      </c>
      <c r="O27" s="9">
        <v>0</v>
      </c>
      <c r="P27" s="10">
        <v>10000</v>
      </c>
      <c r="Q27" s="11">
        <f>J27+M27+N27+O27+P27</f>
        <v>410000</v>
      </c>
      <c r="R27" s="12">
        <v>0</v>
      </c>
      <c r="S27" s="13">
        <f>R27-Q27</f>
        <v>-410000</v>
      </c>
    </row>
    <row r="28" spans="2:19" ht="21.95" customHeight="1" x14ac:dyDescent="0.25">
      <c r="B28" s="14" t="s">
        <v>111</v>
      </c>
      <c r="C28" s="15" t="s">
        <v>112</v>
      </c>
      <c r="D28" s="23" t="s">
        <v>74</v>
      </c>
      <c r="E28" s="16" t="s">
        <v>113</v>
      </c>
      <c r="F28" s="16" t="s">
        <v>100</v>
      </c>
      <c r="G28" s="16" t="s">
        <v>114</v>
      </c>
      <c r="H28" s="17">
        <v>15</v>
      </c>
      <c r="I28" s="7">
        <v>16000</v>
      </c>
      <c r="J28" s="18">
        <f>H28*I28</f>
        <v>240000</v>
      </c>
      <c r="K28" s="17">
        <v>0</v>
      </c>
      <c r="L28" s="19">
        <v>0</v>
      </c>
      <c r="M28" s="18">
        <f>K28*L28</f>
        <v>0</v>
      </c>
      <c r="N28" s="19">
        <v>0</v>
      </c>
      <c r="O28" s="19">
        <v>0</v>
      </c>
      <c r="P28" s="10">
        <v>5000</v>
      </c>
      <c r="Q28" s="20">
        <f>J28+M28+N28+O28+P28</f>
        <v>245000</v>
      </c>
      <c r="R28" s="12">
        <v>0</v>
      </c>
      <c r="S28" s="21">
        <f>R28-Q28</f>
        <v>-245000</v>
      </c>
    </row>
    <row r="29" spans="2:19" ht="21.95" customHeight="1" x14ac:dyDescent="0.25">
      <c r="B29" s="2" t="s">
        <v>115</v>
      </c>
      <c r="C29" s="3" t="s">
        <v>116</v>
      </c>
      <c r="D29" s="23" t="s">
        <v>74</v>
      </c>
      <c r="E29" s="5" t="s">
        <v>117</v>
      </c>
      <c r="F29" s="5" t="s">
        <v>118</v>
      </c>
      <c r="G29" s="5" t="s">
        <v>101</v>
      </c>
      <c r="H29" s="6">
        <v>8</v>
      </c>
      <c r="I29" s="7">
        <v>16000</v>
      </c>
      <c r="J29" s="8">
        <f>H29*I29</f>
        <v>128000</v>
      </c>
      <c r="K29" s="6">
        <v>0</v>
      </c>
      <c r="L29" s="9">
        <v>0</v>
      </c>
      <c r="M29" s="8">
        <f>K29*L29</f>
        <v>0</v>
      </c>
      <c r="N29" s="9">
        <v>0</v>
      </c>
      <c r="O29" s="9">
        <v>0</v>
      </c>
      <c r="P29" s="10">
        <v>5000</v>
      </c>
      <c r="Q29" s="11">
        <f>J29+M29+N29+O29+P29</f>
        <v>133000</v>
      </c>
      <c r="R29" s="12">
        <v>0</v>
      </c>
      <c r="S29" s="13">
        <f>R29-Q29</f>
        <v>-133000</v>
      </c>
    </row>
    <row r="30" spans="2:19" ht="21.95" customHeight="1" x14ac:dyDescent="0.25">
      <c r="B30" s="39" t="s">
        <v>119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</row>
    <row r="31" spans="2:19" ht="21.95" customHeight="1" x14ac:dyDescent="0.25">
      <c r="B31" s="2" t="s">
        <v>120</v>
      </c>
      <c r="C31" s="3" t="s">
        <v>121</v>
      </c>
      <c r="D31" s="23" t="s">
        <v>74</v>
      </c>
      <c r="E31" s="5" t="s">
        <v>122</v>
      </c>
      <c r="F31" s="5" t="s">
        <v>123</v>
      </c>
      <c r="G31" s="5" t="s">
        <v>124</v>
      </c>
      <c r="H31" s="6">
        <v>6</v>
      </c>
      <c r="I31" s="7">
        <v>16000</v>
      </c>
      <c r="J31" s="8">
        <f>H31*I31</f>
        <v>96000</v>
      </c>
      <c r="K31" s="6">
        <v>0</v>
      </c>
      <c r="L31" s="9">
        <v>0</v>
      </c>
      <c r="M31" s="8">
        <f>K31*L31</f>
        <v>0</v>
      </c>
      <c r="N31" s="9">
        <v>0</v>
      </c>
      <c r="O31" s="9">
        <v>0</v>
      </c>
      <c r="P31" s="10">
        <v>5000</v>
      </c>
      <c r="Q31" s="11">
        <f>J31+M31+N31+O31+P31</f>
        <v>101000</v>
      </c>
      <c r="R31" s="12">
        <v>0</v>
      </c>
      <c r="S31" s="13">
        <f>R31-Q31</f>
        <v>-101000</v>
      </c>
    </row>
    <row r="32" spans="2:19" ht="21.95" customHeight="1" x14ac:dyDescent="0.25">
      <c r="B32" s="14" t="s">
        <v>125</v>
      </c>
      <c r="C32" s="15" t="s">
        <v>126</v>
      </c>
      <c r="D32" s="23" t="s">
        <v>74</v>
      </c>
      <c r="E32" s="16" t="s">
        <v>127</v>
      </c>
      <c r="F32" s="16" t="s">
        <v>123</v>
      </c>
      <c r="G32" s="16" t="s">
        <v>128</v>
      </c>
      <c r="H32" s="17">
        <v>8</v>
      </c>
      <c r="I32" s="7">
        <v>16000</v>
      </c>
      <c r="J32" s="18">
        <f>H32*I32</f>
        <v>128000</v>
      </c>
      <c r="K32" s="17">
        <v>0</v>
      </c>
      <c r="L32" s="19">
        <v>0</v>
      </c>
      <c r="M32" s="18">
        <f>K32*L32</f>
        <v>0</v>
      </c>
      <c r="N32" s="19">
        <v>0</v>
      </c>
      <c r="O32" s="19">
        <v>0</v>
      </c>
      <c r="P32" s="10">
        <v>5000</v>
      </c>
      <c r="Q32" s="20">
        <f>J32+M32+N32+O32+P32</f>
        <v>133000</v>
      </c>
      <c r="R32" s="12">
        <v>0</v>
      </c>
      <c r="S32" s="21">
        <f>R32-Q32</f>
        <v>-133000</v>
      </c>
    </row>
    <row r="33" spans="2:19" ht="21.95" customHeight="1" x14ac:dyDescent="0.25">
      <c r="B33" s="2" t="s">
        <v>129</v>
      </c>
      <c r="C33" s="3" t="s">
        <v>130</v>
      </c>
      <c r="D33" s="23" t="s">
        <v>74</v>
      </c>
      <c r="E33" s="5" t="s">
        <v>131</v>
      </c>
      <c r="F33" s="5" t="s">
        <v>123</v>
      </c>
      <c r="G33" s="5" t="s">
        <v>132</v>
      </c>
      <c r="H33" s="6">
        <v>4</v>
      </c>
      <c r="I33" s="7">
        <v>16000</v>
      </c>
      <c r="J33" s="8">
        <f>H33*I33</f>
        <v>64000</v>
      </c>
      <c r="K33" s="6">
        <v>0</v>
      </c>
      <c r="L33" s="9">
        <v>0</v>
      </c>
      <c r="M33" s="8">
        <f>K33*L33</f>
        <v>0</v>
      </c>
      <c r="N33" s="9">
        <v>0</v>
      </c>
      <c r="O33" s="9">
        <v>0</v>
      </c>
      <c r="P33" s="10">
        <v>5000</v>
      </c>
      <c r="Q33" s="11">
        <f>J33+M33+N33+O33+P33</f>
        <v>69000</v>
      </c>
      <c r="R33" s="12">
        <v>0</v>
      </c>
      <c r="S33" s="13">
        <f>R33-Q33</f>
        <v>-69000</v>
      </c>
    </row>
    <row r="34" spans="2:19" ht="21.95" customHeight="1" x14ac:dyDescent="0.25">
      <c r="B34" s="14" t="s">
        <v>133</v>
      </c>
      <c r="C34" s="15" t="s">
        <v>134</v>
      </c>
      <c r="D34" s="23" t="s">
        <v>74</v>
      </c>
      <c r="E34" s="16" t="s">
        <v>132</v>
      </c>
      <c r="F34" s="16" t="s">
        <v>123</v>
      </c>
      <c r="G34" s="16" t="s">
        <v>135</v>
      </c>
      <c r="H34" s="17">
        <v>4</v>
      </c>
      <c r="I34" s="7">
        <v>16000</v>
      </c>
      <c r="J34" s="18">
        <f>H34*I34</f>
        <v>64000</v>
      </c>
      <c r="K34" s="17">
        <v>0</v>
      </c>
      <c r="L34" s="19">
        <v>0</v>
      </c>
      <c r="M34" s="18">
        <f>K34*L34</f>
        <v>0</v>
      </c>
      <c r="N34" s="19">
        <v>0</v>
      </c>
      <c r="O34" s="19">
        <v>0</v>
      </c>
      <c r="P34" s="10">
        <v>3000</v>
      </c>
      <c r="Q34" s="20">
        <f>J34+M34+N34+O34+P34</f>
        <v>67000</v>
      </c>
      <c r="R34" s="12">
        <v>0</v>
      </c>
      <c r="S34" s="21">
        <f>R34-Q34</f>
        <v>-67000</v>
      </c>
    </row>
    <row r="35" spans="2:19" ht="26.1" customHeight="1" x14ac:dyDescent="0.25">
      <c r="B35" s="24" t="s">
        <v>136</v>
      </c>
      <c r="C35" s="25" t="s">
        <v>137</v>
      </c>
      <c r="D35" s="24"/>
      <c r="E35" s="24"/>
      <c r="F35" s="24"/>
      <c r="G35" s="24"/>
      <c r="H35" s="26">
        <f>H6+H7+H8+H9+H10+H12+H13+H14+H15+H17+H18+H19+H20+H21+H22+H23+H25+H26+H27+H28+H29+H31+H32+H33+H34</f>
        <v>334</v>
      </c>
      <c r="I35" s="24"/>
      <c r="J35" s="27">
        <f>J6+J7+J8+J9+J10+J12+J13+J14+J15+J17+J18+J19+J20+J21+J22+J23+J25+J26+J27+J28+J29+J31+J32+J33+J34</f>
        <v>5344000</v>
      </c>
      <c r="K35" s="24"/>
      <c r="L35" s="24"/>
      <c r="M35" s="27">
        <f t="shared" ref="M35:S35" si="4">M6+M7+M8+M9+M10+M12+M13+M14+M15+M17+M18+M19+M20+M21+M22+M23+M25+M26+M27+M28+M29+M31+M32+M33+M34</f>
        <v>0</v>
      </c>
      <c r="N35" s="27">
        <f t="shared" si="4"/>
        <v>0</v>
      </c>
      <c r="O35" s="27">
        <f t="shared" si="4"/>
        <v>0</v>
      </c>
      <c r="P35" s="27">
        <f t="shared" si="4"/>
        <v>152000</v>
      </c>
      <c r="Q35" s="27">
        <f t="shared" si="4"/>
        <v>5496000</v>
      </c>
      <c r="R35" s="27">
        <f t="shared" si="4"/>
        <v>0</v>
      </c>
      <c r="S35" s="27">
        <f t="shared" si="4"/>
        <v>-5496000</v>
      </c>
    </row>
    <row r="37" spans="2:19" ht="20.100000000000001" customHeight="1" x14ac:dyDescent="0.25">
      <c r="L37" s="42" t="s">
        <v>138</v>
      </c>
      <c r="M37" s="38"/>
      <c r="N37" s="38"/>
      <c r="O37" s="38"/>
      <c r="P37" s="38"/>
      <c r="Q37" s="28">
        <f>SUM(J6,J7,J8,J9,J10,J12,J13,J14,J15,J17,J18,J19,J20,J21,J22,J23,J25,J26,J27,J28,J29,J31,J32,J33,J34)</f>
        <v>5344000</v>
      </c>
    </row>
    <row r="38" spans="2:19" ht="20.100000000000001" customHeight="1" x14ac:dyDescent="0.25">
      <c r="L38" s="42" t="s">
        <v>139</v>
      </c>
      <c r="M38" s="38"/>
      <c r="N38" s="38"/>
      <c r="O38" s="38"/>
      <c r="P38" s="38"/>
      <c r="Q38" s="28">
        <f>SUM(M6,M7,M8,M9,M10,M12,M13,M14,M15,M17,M18,M19,M20,M21,M22,M23,M25,M26,M27,M28,M29,M31,M32,M33,M34)</f>
        <v>0</v>
      </c>
    </row>
    <row r="39" spans="2:19" ht="20.100000000000001" customHeight="1" x14ac:dyDescent="0.25">
      <c r="L39" s="42" t="s">
        <v>140</v>
      </c>
      <c r="M39" s="38"/>
      <c r="N39" s="38"/>
      <c r="O39" s="38"/>
      <c r="P39" s="38"/>
      <c r="Q39" s="28">
        <f>SUM(N6+O6+P6,N7+O7+P7,N8+O8+P8,N9+O9+P9,N10+O10+P10,N12+O12+P12,N13+O13+P13,N14+O14+P14,N15+O15+P15,N17+O17+P17,N18+O18+P18,N19+O19+P19,N20+O20+P20,N21+O21+P21,N22+O22+P22,N23+O23+P23,N25+O25+P25,N26+O26+P26,N27+O27+P27,N28+O28+P28,N29+O29+P29,N31+O31+P31,N32+O32+P32,N33+O33+P33,N34+O34+P34)</f>
        <v>152000</v>
      </c>
    </row>
    <row r="40" spans="2:19" ht="20.100000000000001" customHeight="1" x14ac:dyDescent="0.25">
      <c r="L40" s="37" t="s">
        <v>141</v>
      </c>
      <c r="M40" s="38"/>
      <c r="N40" s="38"/>
      <c r="O40" s="38"/>
      <c r="P40" s="38"/>
      <c r="Q40" s="29">
        <f>SUM(Q6,Q7,Q8,Q9,Q10,Q12,Q13,Q14,Q15,Q17,Q18,Q19,Q20,Q21,Q22,Q23,Q25,Q26,Q27,Q28,Q29,Q31,Q32,Q33,Q34)</f>
        <v>5496000</v>
      </c>
    </row>
    <row r="41" spans="2:19" ht="20.100000000000001" customHeight="1" x14ac:dyDescent="0.25">
      <c r="L41" s="37" t="s">
        <v>142</v>
      </c>
      <c r="M41" s="38"/>
      <c r="N41" s="38"/>
      <c r="O41" s="38"/>
      <c r="P41" s="38"/>
      <c r="Q41" s="29">
        <f>SUM(R6,R7,R8,R9,R10,R12,R13,R14,R15,R17,R18,R19,R20,R21,R22,R23,R25,R26,R27,R28,R29,R31,R32,R33,R34)</f>
        <v>0</v>
      </c>
    </row>
    <row r="42" spans="2:19" ht="20.100000000000001" customHeight="1" x14ac:dyDescent="0.25">
      <c r="L42" s="37" t="s">
        <v>143</v>
      </c>
      <c r="M42" s="38"/>
      <c r="N42" s="38"/>
      <c r="O42" s="38"/>
      <c r="P42" s="38"/>
      <c r="Q42" s="30">
        <f>SUM(S6,S7,S8,S9,S10,S12,S13,S14,S15,S17,S18,S19,S20,S21,S22,S23,S25,S26,S27,S28,S29,S31,S32,S33,S34)</f>
        <v>-5496000</v>
      </c>
    </row>
    <row r="45" spans="2:19" ht="20.100000000000001" customHeight="1" x14ac:dyDescent="0.25">
      <c r="B45" s="31" t="s">
        <v>144</v>
      </c>
      <c r="D45" s="32" t="s">
        <v>145</v>
      </c>
      <c r="F45" s="33" t="s">
        <v>146</v>
      </c>
      <c r="H45" s="34" t="s">
        <v>147</v>
      </c>
    </row>
  </sheetData>
  <mergeCells count="18">
    <mergeCell ref="B1:S1"/>
    <mergeCell ref="H3:J3"/>
    <mergeCell ref="L37:P37"/>
    <mergeCell ref="L39:P39"/>
    <mergeCell ref="N3:P3"/>
    <mergeCell ref="Q3:S3"/>
    <mergeCell ref="B2:S2"/>
    <mergeCell ref="B5:S5"/>
    <mergeCell ref="B16:S16"/>
    <mergeCell ref="L38:P38"/>
    <mergeCell ref="L42:P42"/>
    <mergeCell ref="L41:P41"/>
    <mergeCell ref="K3:M3"/>
    <mergeCell ref="B3:G3"/>
    <mergeCell ref="L40:P40"/>
    <mergeCell ref="B30:S30"/>
    <mergeCell ref="B11:S11"/>
    <mergeCell ref="B24:S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Santiago Palencia Sandoval</cp:lastModifiedBy>
  <dcterms:created xsi:type="dcterms:W3CDTF">2026-03-16T02:09:16Z</dcterms:created>
  <dcterms:modified xsi:type="dcterms:W3CDTF">2026-03-16T02:16:15Z</dcterms:modified>
</cp:coreProperties>
</file>