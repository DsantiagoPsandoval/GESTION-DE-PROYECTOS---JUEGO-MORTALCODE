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13_ncr:1_{C0ED4C36-CE4C-44FF-95CE-95D25C4995F9}" xr6:coauthVersionLast="47" xr6:coauthVersionMax="47" xr10:uidLastSave="{00000000-0000-0000-0000-000000000000}"/>
  <bookViews>
    <workbookView xWindow="3270" yWindow="4230" windowWidth="21600" windowHeight="11295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0" i="1" l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5" i="1"/>
</calcChain>
</file>

<file path=xl/sharedStrings.xml><?xml version="1.0" encoding="utf-8"?>
<sst xmlns="http://schemas.openxmlformats.org/spreadsheetml/2006/main" count="227" uniqueCount="151">
  <si>
    <t>MORTAL CODE</t>
  </si>
  <si>
    <t>Título del Proyecto</t>
  </si>
  <si>
    <t>Fecha inicio</t>
  </si>
  <si>
    <t>Mortal Code — Videojuego Educativo de Python</t>
  </si>
  <si>
    <t>Duracion del proyecto</t>
  </si>
  <si>
    <t>Gerente del Proyecto</t>
  </si>
  <si>
    <t>Fecha Fin</t>
  </si>
  <si>
    <t>en dias</t>
  </si>
  <si>
    <t>Nelson Ayala</t>
  </si>
  <si>
    <t>Marzo 2026</t>
  </si>
  <si>
    <t>Abril 2026</t>
  </si>
  <si>
    <t>Mayo 2026</t>
  </si>
  <si>
    <t>Junio 2026</t>
  </si>
  <si>
    <t>WBS</t>
  </si>
  <si>
    <t>Nombre de la tarea</t>
  </si>
  <si>
    <t>Estado</t>
  </si>
  <si>
    <t>Responsable</t>
  </si>
  <si>
    <t>Inicio</t>
  </si>
  <si>
    <t>Fin</t>
  </si>
  <si>
    <t>Días</t>
  </si>
  <si>
    <t>Comentarios</t>
  </si>
  <si>
    <t>Estado visual</t>
  </si>
  <si>
    <t>9/02</t>
  </si>
  <si>
    <t>16/02</t>
  </si>
  <si>
    <t>23/02</t>
  </si>
  <si>
    <t>2/03</t>
  </si>
  <si>
    <t>9/03</t>
  </si>
  <si>
    <t>16/03</t>
  </si>
  <si>
    <t>23/03</t>
  </si>
  <si>
    <t>30/03</t>
  </si>
  <si>
    <t>6/04</t>
  </si>
  <si>
    <t>13/04</t>
  </si>
  <si>
    <t>20/04</t>
  </si>
  <si>
    <t>27/04</t>
  </si>
  <si>
    <t>4/05</t>
  </si>
  <si>
    <t>11/05</t>
  </si>
  <si>
    <t>18/05</t>
  </si>
  <si>
    <t>25/05</t>
  </si>
  <si>
    <t>1/06</t>
  </si>
  <si>
    <t>1</t>
  </si>
  <si>
    <t xml:space="preserve">  FASE 1 — CONCEPCIÓN E INICIO</t>
  </si>
  <si>
    <t>Equipo de proyecto</t>
  </si>
  <si>
    <t>1.1</t>
  </si>
  <si>
    <t xml:space="preserve">    Definición del problema</t>
  </si>
  <si>
    <t>Completo</t>
  </si>
  <si>
    <t>Equipo completo</t>
  </si>
  <si>
    <t>Análisis del bajo engagement en aprendizaje tradicional de Python</t>
  </si>
  <si>
    <t>✓ Completo</t>
  </si>
  <si>
    <t>1.2</t>
  </si>
  <si>
    <t xml:space="preserve">    Definición de objetivos</t>
  </si>
  <si>
    <t>Objetivos SMART: juego educativo Android, 3 capítulos, sistema XP</t>
  </si>
  <si>
    <t>1.3</t>
  </si>
  <si>
    <t xml:space="preserve">    Investigación de requisitos funcionales</t>
  </si>
  <si>
    <t>Equipo completo + 10 usuarios</t>
  </si>
  <si>
    <t>Encuestas Google Forms, entrevistas a 10 estudiantes 15-25 años</t>
  </si>
  <si>
    <t>1.4</t>
  </si>
  <si>
    <t xml:space="preserve">    Benchmarking de apps educativas</t>
  </si>
  <si>
    <t>Análisis de Duolingo, Mimo, Grasshopper: mecánicas, UI, progresión</t>
  </si>
  <si>
    <t>1.5</t>
  </si>
  <si>
    <t xml:space="preserve">    Identificación de stakeholders</t>
  </si>
  <si>
    <t>Equipo de desarrollo</t>
  </si>
  <si>
    <t>Definición de roles: programador principal, diseñador, usuarios prueba</t>
  </si>
  <si>
    <t>2</t>
  </si>
  <si>
    <t xml:space="preserve">  FASE 2 — PLANIFICACIÓN Y DISEÑO</t>
  </si>
  <si>
    <t>2.1</t>
  </si>
  <si>
    <t xml:space="preserve">    Definición del alcance del proyecto</t>
  </si>
  <si>
    <t>MVP: 6 pantallas, 3 capítulos Python, export Android, Play Store</t>
  </si>
  <si>
    <t>2.2</t>
  </si>
  <si>
    <t xml:space="preserve">    Identificación de requerimientos funcionales</t>
  </si>
  <si>
    <t>Requisitos sistema, restricciones móviles, pantallas 390×844px</t>
  </si>
  <si>
    <t>2.3</t>
  </si>
  <si>
    <t xml:space="preserve">    Diseño de experiencia de usuario (UX)</t>
  </si>
  <si>
    <t>Diseñador</t>
  </si>
  <si>
    <t>Bocetos, user flows, wireframes 6 pantallas, tema visual terror educativo</t>
  </si>
  <si>
    <t>2.4</t>
  </si>
  <si>
    <t xml:space="preserve">    Selección de motor y herramientas</t>
  </si>
  <si>
    <t>Decisión: Godot 4 + GDScript + Android SDK + Java JDK 17</t>
  </si>
  <si>
    <t>2.5</t>
  </si>
  <si>
    <t xml:space="preserve">    Diseño del contenido educativo (JSON)</t>
  </si>
  <si>
    <t>Programador principal</t>
  </si>
  <si>
    <t>Estructura lessons.json: 3 caps, 9 lecciones Python, 9 quizzes con XP</t>
  </si>
  <si>
    <t>2.6</t>
  </si>
  <si>
    <t xml:space="preserve">    Diseño de interfaz visual (UI)</t>
  </si>
  <si>
    <t>Mockups Figma 6 pantallas, paleta morado/negro, fuentes Creepster y Share Tech Mono</t>
  </si>
  <si>
    <t>3</t>
  </si>
  <si>
    <t xml:space="preserve">  FASE 3 — DESARROLLO</t>
  </si>
  <si>
    <t>Programador + Diseñador</t>
  </si>
  <si>
    <t>3.1</t>
  </si>
  <si>
    <t xml:space="preserve">    Creación de estructura base en Godot</t>
  </si>
  <si>
    <t>Config proyecto Godot 4 Android, carpetas scenes/scripts/data/assets</t>
  </si>
  <si>
    <t>▶ En progreso</t>
  </si>
  <si>
    <t>3.2</t>
  </si>
  <si>
    <t xml:space="preserve">    Desarrollo sistema de navegación (GameManager)</t>
  </si>
  <si>
    <t>Diseñador, Programador</t>
  </si>
  <si>
    <t>Singleton GameManager, guardado save.dat, go_to() entre escenas</t>
  </si>
  <si>
    <t>3.3</t>
  </si>
  <si>
    <t xml:space="preserve">    Programación Splash Screen y Menú Principal</t>
  </si>
  <si>
    <t>No Iniciado</t>
  </si>
  <si>
    <t>Animaciones Tween, barra XP dinámica, 5 botones con señales conectadas</t>
  </si>
  <si>
    <t>◌ Pendiente</t>
  </si>
  <si>
    <t>3.4</t>
  </si>
  <si>
    <t xml:space="preserve">    Programación Lección y Quiz (sistema preguntas)</t>
  </si>
  <si>
    <t>Carga JSON dinámica, RichTextLabel BBCode, timer 30s, feedback verde/rojo</t>
  </si>
  <si>
    <t>3.5</t>
  </si>
  <si>
    <t xml:space="preserve">    Programación sistema de progresión y puntuación</t>
  </si>
  <si>
    <t>XP + bonificación racha, subida de nivel, persistencia entre sesiones</t>
  </si>
  <si>
    <t>3.6</t>
  </si>
  <si>
    <t xml:space="preserve">    Pantalla Resultado y Mapa de Progreso</t>
  </si>
  <si>
    <t>GridContainer stats, animación XP Tween, ScrollContainer capítulos</t>
  </si>
  <si>
    <t>3.7</t>
  </si>
  <si>
    <t xml:space="preserve">    Ambientación sonora y efectos visuales</t>
  </si>
  <si>
    <t>GPUParticles2D lluvia/confetti, shader scanlines, AudioStreamPlayer</t>
  </si>
  <si>
    <t>3.8</t>
  </si>
  <si>
    <t xml:space="preserve">    Implementación de interfaz final (UI definitiva)</t>
  </si>
  <si>
    <t>Tema global mortal_theme.tres, StyleBoxFlat paneles, fuentes .ttf aplicadas</t>
  </si>
  <si>
    <t>4</t>
  </si>
  <si>
    <t xml:space="preserve">  FASE 4 — PRUEBAS Y CORRECCIÓN</t>
  </si>
  <si>
    <t>Equipo completo + usuarios</t>
  </si>
  <si>
    <t>4.1</t>
  </si>
  <si>
    <t xml:space="preserve">    Pruebas funcionales internas en PC</t>
  </si>
  <si>
    <t>Programadores</t>
  </si>
  <si>
    <t>Checklist 15 ítems: flujo completo, guardado/carga, JSON, botones</t>
  </si>
  <si>
    <t>4.2</t>
  </si>
  <si>
    <t xml:space="preserve">    Pruebas en dispositivo Android físico</t>
  </si>
  <si>
    <t>APK prueba, USB, usabilidad táctil, resolución, orientación vertical</t>
  </si>
  <si>
    <t>4.3</t>
  </si>
  <si>
    <t xml:space="preserve">    Pruebas con usuarios externos</t>
  </si>
  <si>
    <t>5 usuarios (estudiantes 15-25 años)</t>
  </si>
  <si>
    <t>Observación directa, Google Forms feedback, medición tiempo/lección</t>
  </si>
  <si>
    <t>4.4</t>
  </si>
  <si>
    <t xml:space="preserve">    Corrección de errores y optimización</t>
  </si>
  <si>
    <t>Bugs críticos → importantes → menores, ajustes UX, rendimiento Android</t>
  </si>
  <si>
    <t>4.5</t>
  </si>
  <si>
    <t xml:space="preserve">    Documentación final</t>
  </si>
  <si>
    <t>Manual de usuario, informe técnico, guía de instalación Godot/Android</t>
  </si>
  <si>
    <t>5</t>
  </si>
  <si>
    <t xml:space="preserve">  FASE 5 — IMPLEMENTACIÓN Y CIERRE</t>
  </si>
  <si>
    <t>5.1</t>
  </si>
  <si>
    <t xml:space="preserve">    Preparación de assets para Play Store</t>
  </si>
  <si>
    <t>Ícono 512×512px, Feature Graphic 1024×500px, 4 screenshots, descripción ES</t>
  </si>
  <si>
    <t>5.2</t>
  </si>
  <si>
    <t xml:space="preserve">    Generación del AAB firmado y prueba final</t>
  </si>
  <si>
    <t>Export Godot → .aab, keystore RSA 2048, firma producción, APK final</t>
  </si>
  <si>
    <t>5.3</t>
  </si>
  <si>
    <t xml:space="preserve">    Publicación en Google Play Store</t>
  </si>
  <si>
    <t>Play Console: ficha app, clasificación contenido, envío revisión (1-7 días)</t>
  </si>
  <si>
    <t>5.4</t>
  </si>
  <si>
    <t xml:space="preserve">    Entrega oficial del proyecto</t>
  </si>
  <si>
    <t>Presentación final, documentación entregada, cierre formal del proyecto</t>
  </si>
  <si>
    <t>LEYENDA:</t>
  </si>
  <si>
    <t>⏸ 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</si>
</sst>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m/dd"/>
    <numFmt numFmtId="166" formatCode="dd/mm/yy"/>
  </numFmts>
  <fonts count="2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1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b/>
      <sz val="7"/>
      <color rgb="FFFFFFFF"/>
      <name val="Arial"/>
    </font>
    <font>
      <b/>
      <sz val="9"/>
      <color rgb="FFFFFFFF"/>
      <name val="Arial"/>
    </font>
    <font>
      <sz val="9"/>
      <color rgb="FFBDD7EE"/>
      <name val="Arial"/>
    </font>
    <font>
      <b/>
      <sz val="9"/>
      <color rgb="FF17375E"/>
      <name val="Arial"/>
    </font>
    <font>
      <sz val="10"/>
      <color rgb="FF000000"/>
      <name val="Arial"/>
    </font>
    <font>
      <sz val="9"/>
      <color rgb="FF375623"/>
      <name val="Arial"/>
    </font>
    <font>
      <sz val="9"/>
      <color rgb="FF404040"/>
      <name val="Arial"/>
    </font>
    <font>
      <sz val="9"/>
      <color rgb="FF000000"/>
      <name val="Arial"/>
    </font>
    <font>
      <i/>
      <sz val="8"/>
      <color rgb="FF606060"/>
      <name val="Arial"/>
    </font>
    <font>
      <b/>
      <sz val="8"/>
      <color rgb="FF375623"/>
      <name val="Arial"/>
    </font>
    <font>
      <b/>
      <sz val="8"/>
      <color rgb="FF0070C0"/>
      <name val="Arial"/>
    </font>
    <font>
      <sz val="9"/>
      <color rgb="FFBF8F00"/>
      <name val="Arial"/>
    </font>
    <font>
      <b/>
      <sz val="8"/>
      <color rgb="FFBF8F00"/>
      <name val="Arial"/>
    </font>
    <font>
      <b/>
      <sz val="9"/>
      <color rgb="FF203864"/>
      <name val="Arial"/>
    </font>
    <font>
      <sz val="8"/>
      <color rgb="FF404040"/>
      <name val="Arial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03864"/>
      </patternFill>
    </fill>
    <fill>
      <patternFill patternType="solid">
        <fgColor rgb="FF2F5496"/>
      </patternFill>
    </fill>
    <fill>
      <patternFill patternType="solid">
        <fgColor rgb="FF17375E"/>
      </patternFill>
    </fill>
    <fill>
      <patternFill patternType="solid">
        <fgColor rgb="FF0070C0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ED7D31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70">
    <xf numFmtId="0" fontId="0" fillId="0" borderId="0" xfId="0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left" vertical="center" wrapText="1" indent="1"/>
    </xf>
    <xf numFmtId="165" fontId="3" fillId="0" borderId="1" xfId="0" applyNumberFormat="1" applyFont="1" applyBorder="1" applyAlignment="1">
      <alignment horizontal="left" vertical="center" wrapText="1" indent="1"/>
    </xf>
    <xf numFmtId="1" fontId="3" fillId="3" borderId="4" xfId="0" applyNumberFormat="1" applyFont="1" applyFill="1" applyBorder="1" applyAlignment="1">
      <alignment horizontal="left" vertical="center" wrapText="1" indent="1"/>
    </xf>
    <xf numFmtId="0" fontId="6" fillId="2" borderId="0" xfId="0" applyFont="1" applyFill="1" applyAlignment="1">
      <alignment vertical="center"/>
    </xf>
    <xf numFmtId="0" fontId="9" fillId="6" borderId="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5" fillId="7" borderId="7" xfId="0" applyFont="1" applyFill="1" applyBorder="1"/>
    <xf numFmtId="0" fontId="7" fillId="7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10" fillId="7" borderId="7" xfId="0" applyFont="1" applyFill="1" applyBorder="1" applyAlignment="1">
      <alignment horizontal="center" vertical="center"/>
    </xf>
    <xf numFmtId="166" fontId="10" fillId="7" borderId="7" xfId="0" applyNumberFormat="1" applyFont="1" applyFill="1" applyBorder="1" applyAlignment="1">
      <alignment horizontal="center" vertical="center"/>
    </xf>
    <xf numFmtId="1" fontId="10" fillId="7" borderId="7" xfId="0" applyNumberFormat="1" applyFont="1" applyFill="1" applyBorder="1" applyAlignment="1">
      <alignment horizontal="center" vertical="center"/>
    </xf>
    <xf numFmtId="0" fontId="5" fillId="8" borderId="7" xfId="0" applyFont="1" applyFill="1" applyBorder="1"/>
    <xf numFmtId="0" fontId="5" fillId="0" borderId="5" xfId="0" applyFont="1" applyBorder="1"/>
    <xf numFmtId="0" fontId="5" fillId="9" borderId="9" xfId="0" applyFont="1" applyFill="1" applyBorder="1"/>
    <xf numFmtId="0" fontId="11" fillId="9" borderId="9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 vertical="center" wrapText="1"/>
    </xf>
    <xf numFmtId="0" fontId="13" fillId="9" borderId="9" xfId="0" applyFont="1" applyFill="1" applyBorder="1" applyAlignment="1">
      <alignment horizontal="center" vertical="center"/>
    </xf>
    <xf numFmtId="164" fontId="14" fillId="9" borderId="9" xfId="0" applyNumberFormat="1" applyFont="1" applyFill="1" applyBorder="1" applyAlignment="1">
      <alignment horizontal="center" vertical="center" wrapText="1"/>
    </xf>
    <xf numFmtId="166" fontId="15" fillId="9" borderId="9" xfId="0" applyNumberFormat="1" applyFont="1" applyFill="1" applyBorder="1" applyAlignment="1">
      <alignment horizontal="center" vertical="center"/>
    </xf>
    <xf numFmtId="1" fontId="14" fillId="9" borderId="9" xfId="0" applyNumberFormat="1" applyFon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left" vertical="center" wrapText="1"/>
    </xf>
    <xf numFmtId="0" fontId="17" fillId="9" borderId="9" xfId="0" applyFont="1" applyFill="1" applyBorder="1" applyAlignment="1">
      <alignment horizontal="center" vertical="center"/>
    </xf>
    <xf numFmtId="0" fontId="5" fillId="10" borderId="10" xfId="0" applyFont="1" applyFill="1" applyBorder="1"/>
    <xf numFmtId="0" fontId="5" fillId="11" borderId="11" xfId="0" applyFont="1" applyFill="1" applyBorder="1"/>
    <xf numFmtId="0" fontId="5" fillId="12" borderId="11" xfId="0" applyFont="1" applyFill="1" applyBorder="1"/>
    <xf numFmtId="0" fontId="5" fillId="11" borderId="9" xfId="0" applyFont="1" applyFill="1" applyBorder="1"/>
    <xf numFmtId="0" fontId="11" fillId="11" borderId="9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left" vertical="center" wrapText="1"/>
    </xf>
    <xf numFmtId="0" fontId="13" fillId="11" borderId="9" xfId="0" applyFont="1" applyFill="1" applyBorder="1" applyAlignment="1">
      <alignment horizontal="center" vertical="center"/>
    </xf>
    <xf numFmtId="164" fontId="14" fillId="11" borderId="9" xfId="0" applyNumberFormat="1" applyFont="1" applyFill="1" applyBorder="1" applyAlignment="1">
      <alignment horizontal="center" vertical="center" wrapText="1"/>
    </xf>
    <xf numFmtId="166" fontId="15" fillId="11" borderId="9" xfId="0" applyNumberFormat="1" applyFont="1" applyFill="1" applyBorder="1" applyAlignment="1">
      <alignment horizontal="center" vertical="center"/>
    </xf>
    <xf numFmtId="1" fontId="14" fillId="11" borderId="9" xfId="0" applyNumberFormat="1" applyFon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left" vertical="center" wrapText="1"/>
    </xf>
    <xf numFmtId="0" fontId="17" fillId="11" borderId="9" xfId="0" applyFont="1" applyFill="1" applyBorder="1" applyAlignment="1">
      <alignment horizontal="center" vertical="center"/>
    </xf>
    <xf numFmtId="164" fontId="10" fillId="7" borderId="7" xfId="0" applyNumberFormat="1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8" fillId="9" borderId="9" xfId="0" applyFont="1" applyFill="1" applyBorder="1" applyAlignment="1">
      <alignment horizontal="center" vertical="center"/>
    </xf>
    <xf numFmtId="0" fontId="5" fillId="7" borderId="10" xfId="0" applyFont="1" applyFill="1" applyBorder="1"/>
    <xf numFmtId="0" fontId="18" fillId="11" borderId="9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0" fontId="5" fillId="13" borderId="10" xfId="0" applyFont="1" applyFill="1" applyBorder="1"/>
    <xf numFmtId="0" fontId="19" fillId="11" borderId="9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21" fillId="0" borderId="5" xfId="0" applyFont="1" applyBorder="1"/>
    <xf numFmtId="0" fontId="5" fillId="10" borderId="9" xfId="0" applyFont="1" applyFill="1" applyBorder="1"/>
    <xf numFmtId="0" fontId="5" fillId="7" borderId="9" xfId="0" applyFont="1" applyFill="1" applyBorder="1"/>
    <xf numFmtId="0" fontId="5" fillId="14" borderId="9" xfId="0" applyFont="1" applyFill="1" applyBorder="1"/>
    <xf numFmtId="0" fontId="5" fillId="13" borderId="9" xfId="0" applyFont="1" applyFill="1" applyBorder="1"/>
    <xf numFmtId="0" fontId="22" fillId="0" borderId="5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wrapText="1"/>
    </xf>
  </cellXfs>
  <cellStyles count="4">
    <cellStyle name="Hipervínculo" xfId="1" builtinId="8" hidden="1"/>
    <cellStyle name="Hipervínculo visitado" xfId="2" builtinId="9" hidden="1"/>
    <cellStyle name="Normal" xfId="0" builtinId="0"/>
    <cellStyle name="Normal 2" xfId="3" xr:uid="{00000000-0005-0000-0000-000003000000}"/>
  </cellStyles>
  <dxfs count="139"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37437055574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JU1078"/>
  <sheetViews>
    <sheetView showGridLines="0" tabSelected="1" zoomScale="93" zoomScaleNormal="85" workbookViewId="0">
      <pane xSplit="10" ySplit="7" topLeftCell="K8" activePane="bottomRight" state="frozen"/>
      <selection pane="topRight"/>
      <selection pane="bottomLeft"/>
      <selection pane="bottomRight" activeCell="C40" sqref="C40:F40"/>
    </sheetView>
  </sheetViews>
  <sheetFormatPr baseColWidth="10" defaultColWidth="4.5" defaultRowHeight="15.75" outlineLevelRow="1" x14ac:dyDescent="0.25"/>
  <cols>
    <col min="1" max="1" width="2" style="2" customWidth="1"/>
    <col min="2" max="2" width="8" style="2" customWidth="1"/>
    <col min="3" max="3" width="40" style="2" bestFit="1" customWidth="1"/>
    <col min="4" max="4" width="13" style="2" customWidth="1"/>
    <col min="5" max="5" width="22" style="2" customWidth="1"/>
    <col min="6" max="6" width="10" style="2" customWidth="1"/>
    <col min="7" max="7" width="10" customWidth="1"/>
    <col min="8" max="8" width="12.25" style="2" customWidth="1"/>
    <col min="9" max="9" width="35" style="2" customWidth="1"/>
    <col min="10" max="10" width="12.75" style="2" customWidth="1"/>
    <col min="11" max="11" width="4.5" style="2" customWidth="1"/>
    <col min="12" max="16" width="4.5" customWidth="1"/>
    <col min="17" max="18" width="4.5" style="2" customWidth="1"/>
    <col min="19" max="27" width="4.5" customWidth="1"/>
    <col min="28" max="16384" width="4.5" style="2"/>
  </cols>
  <sheetData>
    <row r="1" spans="1:257" ht="57" customHeight="1" x14ac:dyDescent="0.25">
      <c r="A1" s="1"/>
      <c r="B1" s="15" t="s">
        <v>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</row>
    <row r="2" spans="1:257" s="8" customFormat="1" ht="18" customHeight="1" x14ac:dyDescent="0.25">
      <c r="A2" s="7"/>
      <c r="B2" s="7"/>
      <c r="C2" s="7" t="s">
        <v>1</v>
      </c>
      <c r="D2" s="7"/>
      <c r="E2" s="7" t="s">
        <v>2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</row>
    <row r="3" spans="1:257" ht="30" customHeight="1" thickBot="1" x14ac:dyDescent="0.3">
      <c r="A3" s="1"/>
      <c r="B3" s="1"/>
      <c r="C3" s="9" t="s">
        <v>3</v>
      </c>
      <c r="D3" s="1"/>
      <c r="E3" s="13">
        <v>46067</v>
      </c>
      <c r="F3" s="1"/>
      <c r="G3" s="1"/>
      <c r="H3" s="1" t="s">
        <v>4</v>
      </c>
      <c r="I3" s="1"/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</row>
    <row r="4" spans="1:257" s="8" customFormat="1" ht="18" customHeight="1" thickBot="1" x14ac:dyDescent="0.3">
      <c r="A4" s="7"/>
      <c r="B4" s="7"/>
      <c r="C4" s="10" t="s">
        <v>5</v>
      </c>
      <c r="D4" s="7"/>
      <c r="E4" s="10" t="s">
        <v>6</v>
      </c>
      <c r="F4" s="7"/>
      <c r="G4" s="7"/>
      <c r="H4" s="7" t="s">
        <v>7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</row>
    <row r="5" spans="1:257" ht="30" customHeight="1" thickBot="1" x14ac:dyDescent="0.3">
      <c r="A5" s="1"/>
      <c r="B5" s="1"/>
      <c r="C5" s="12" t="s">
        <v>8</v>
      </c>
      <c r="D5" s="1"/>
      <c r="E5" s="13">
        <v>46172</v>
      </c>
      <c r="F5" s="1"/>
      <c r="G5" s="1"/>
      <c r="H5" s="14">
        <f>IF(E3=0,0,E5-E3)+1</f>
        <v>106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spans="1:257" ht="21.95" customHeight="1" thickBot="1" x14ac:dyDescent="0.3">
      <c r="A6" s="1"/>
      <c r="B6" s="1"/>
      <c r="C6" s="1"/>
      <c r="D6" s="1"/>
      <c r="E6" s="11"/>
      <c r="F6" s="1"/>
      <c r="G6" s="1"/>
      <c r="H6" s="11"/>
      <c r="I6" s="1"/>
      <c r="J6" s="1"/>
      <c r="K6" s="67"/>
      <c r="L6" s="68"/>
      <c r="M6" s="68"/>
      <c r="N6" s="67" t="s">
        <v>9</v>
      </c>
      <c r="O6" s="68"/>
      <c r="P6" s="68"/>
      <c r="Q6" s="69"/>
      <c r="R6" s="69"/>
      <c r="S6" s="67" t="s">
        <v>10</v>
      </c>
      <c r="T6" s="68"/>
      <c r="U6" s="68"/>
      <c r="V6" s="68"/>
      <c r="W6" s="67" t="s">
        <v>11</v>
      </c>
      <c r="X6" s="68"/>
      <c r="Y6" s="68"/>
      <c r="Z6" s="68"/>
      <c r="AA6" s="16" t="s">
        <v>12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</row>
    <row r="7" spans="1:257" s="6" customFormat="1" ht="38.1" customHeight="1" thickBot="1" x14ac:dyDescent="0.3">
      <c r="A7" s="5"/>
      <c r="B7" s="17" t="s">
        <v>13</v>
      </c>
      <c r="C7" s="17" t="s">
        <v>14</v>
      </c>
      <c r="D7" s="17" t="s">
        <v>15</v>
      </c>
      <c r="E7" s="17" t="s">
        <v>16</v>
      </c>
      <c r="F7" s="17" t="s">
        <v>17</v>
      </c>
      <c r="G7" s="17" t="s">
        <v>18</v>
      </c>
      <c r="H7" s="17" t="s">
        <v>19</v>
      </c>
      <c r="I7" s="17" t="s">
        <v>20</v>
      </c>
      <c r="J7" s="17" t="s">
        <v>21</v>
      </c>
      <c r="K7" s="18" t="s">
        <v>22</v>
      </c>
      <c r="L7" s="18" t="s">
        <v>23</v>
      </c>
      <c r="M7" s="18" t="s">
        <v>24</v>
      </c>
      <c r="N7" s="18" t="s">
        <v>25</v>
      </c>
      <c r="O7" s="18" t="s">
        <v>26</v>
      </c>
      <c r="P7" s="18" t="s">
        <v>27</v>
      </c>
      <c r="Q7" s="18" t="s">
        <v>28</v>
      </c>
      <c r="R7" s="18" t="s">
        <v>29</v>
      </c>
      <c r="S7" s="18" t="s">
        <v>30</v>
      </c>
      <c r="T7" s="18" t="s">
        <v>31</v>
      </c>
      <c r="U7" s="18" t="s">
        <v>32</v>
      </c>
      <c r="V7" s="18" t="s">
        <v>33</v>
      </c>
      <c r="W7" s="18" t="s">
        <v>34</v>
      </c>
      <c r="X7" s="18" t="s">
        <v>35</v>
      </c>
      <c r="Y7" s="18" t="s">
        <v>36</v>
      </c>
      <c r="Z7" s="18" t="s">
        <v>37</v>
      </c>
      <c r="AA7" s="18" t="s">
        <v>38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1:257" s="4" customFormat="1" ht="21.95" customHeight="1" x14ac:dyDescent="0.2">
      <c r="A8" s="19"/>
      <c r="B8" s="20" t="s">
        <v>39</v>
      </c>
      <c r="C8" s="21" t="s">
        <v>40</v>
      </c>
      <c r="D8" s="19"/>
      <c r="E8" s="22" t="s">
        <v>41</v>
      </c>
      <c r="F8" s="23">
        <v>46067</v>
      </c>
      <c r="G8" s="23">
        <v>46073</v>
      </c>
      <c r="H8" s="24">
        <f t="shared" ref="H8:H40" si="0">IF(F8=0,0,G8-F8)+1</f>
        <v>7</v>
      </c>
      <c r="I8" s="19"/>
      <c r="J8" s="19"/>
      <c r="K8" s="25"/>
      <c r="L8" s="2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spans="1:257" s="4" customFormat="1" ht="21.95" customHeight="1" outlineLevel="1" x14ac:dyDescent="0.2">
      <c r="A9" s="27"/>
      <c r="B9" s="28" t="s">
        <v>42</v>
      </c>
      <c r="C9" s="29" t="s">
        <v>43</v>
      </c>
      <c r="D9" s="30" t="s">
        <v>44</v>
      </c>
      <c r="E9" s="31" t="s">
        <v>45</v>
      </c>
      <c r="F9" s="32">
        <v>46067</v>
      </c>
      <c r="G9" s="32">
        <v>46067</v>
      </c>
      <c r="H9" s="33">
        <f t="shared" si="0"/>
        <v>1</v>
      </c>
      <c r="I9" s="34" t="s">
        <v>46</v>
      </c>
      <c r="J9" s="35" t="s">
        <v>47</v>
      </c>
      <c r="K9" s="36"/>
      <c r="L9" s="37"/>
      <c r="M9" s="38"/>
      <c r="N9" s="37"/>
      <c r="O9" s="38"/>
      <c r="P9" s="37"/>
      <c r="Q9" s="38"/>
      <c r="R9" s="37"/>
      <c r="S9" s="38"/>
      <c r="T9" s="37"/>
      <c r="U9" s="38"/>
      <c r="V9" s="37"/>
      <c r="W9" s="38"/>
      <c r="X9" s="37"/>
      <c r="Y9" s="38"/>
      <c r="Z9" s="37"/>
      <c r="AA9" s="38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6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spans="1:257" s="4" customFormat="1" ht="21.95" customHeight="1" outlineLevel="1" x14ac:dyDescent="0.2">
      <c r="A10" s="39"/>
      <c r="B10" s="40" t="s">
        <v>48</v>
      </c>
      <c r="C10" s="41" t="s">
        <v>49</v>
      </c>
      <c r="D10" s="42" t="s">
        <v>44</v>
      </c>
      <c r="E10" s="43" t="s">
        <v>45</v>
      </c>
      <c r="F10" s="44">
        <v>46067</v>
      </c>
      <c r="G10" s="44">
        <v>46067</v>
      </c>
      <c r="H10" s="45">
        <f t="shared" si="0"/>
        <v>1</v>
      </c>
      <c r="I10" s="46" t="s">
        <v>50</v>
      </c>
      <c r="J10" s="47" t="s">
        <v>47</v>
      </c>
      <c r="K10" s="36"/>
      <c r="L10" s="37"/>
      <c r="M10" s="38"/>
      <c r="N10" s="37"/>
      <c r="O10" s="38"/>
      <c r="P10" s="37"/>
      <c r="Q10" s="38"/>
      <c r="R10" s="37"/>
      <c r="S10" s="38"/>
      <c r="T10" s="37"/>
      <c r="U10" s="38"/>
      <c r="V10" s="37"/>
      <c r="W10" s="38"/>
      <c r="X10" s="37"/>
      <c r="Y10" s="38"/>
      <c r="Z10" s="37"/>
      <c r="AA10" s="38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spans="1:257" s="4" customFormat="1" ht="21.95" customHeight="1" outlineLevel="1" x14ac:dyDescent="0.2">
      <c r="A11" s="27"/>
      <c r="B11" s="28" t="s">
        <v>51</v>
      </c>
      <c r="C11" s="29" t="s">
        <v>52</v>
      </c>
      <c r="D11" s="30" t="s">
        <v>44</v>
      </c>
      <c r="E11" s="31" t="s">
        <v>53</v>
      </c>
      <c r="F11" s="32">
        <v>46067</v>
      </c>
      <c r="G11" s="32">
        <v>46069</v>
      </c>
      <c r="H11" s="33">
        <f t="shared" si="0"/>
        <v>3</v>
      </c>
      <c r="I11" s="34" t="s">
        <v>54</v>
      </c>
      <c r="J11" s="35" t="s">
        <v>47</v>
      </c>
      <c r="K11" s="36"/>
      <c r="L11" s="36"/>
      <c r="M11" s="38"/>
      <c r="N11" s="37"/>
      <c r="O11" s="38"/>
      <c r="P11" s="37"/>
      <c r="Q11" s="38"/>
      <c r="R11" s="37"/>
      <c r="S11" s="38"/>
      <c r="T11" s="37"/>
      <c r="U11" s="38"/>
      <c r="V11" s="37"/>
      <c r="W11" s="38"/>
      <c r="X11" s="37"/>
      <c r="Y11" s="38"/>
      <c r="Z11" s="37"/>
      <c r="AA11" s="38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spans="1:257" s="4" customFormat="1" ht="21.95" customHeight="1" outlineLevel="1" x14ac:dyDescent="0.2">
      <c r="A12" s="39"/>
      <c r="B12" s="40" t="s">
        <v>55</v>
      </c>
      <c r="C12" s="41" t="s">
        <v>56</v>
      </c>
      <c r="D12" s="42" t="s">
        <v>44</v>
      </c>
      <c r="E12" s="43" t="s">
        <v>45</v>
      </c>
      <c r="F12" s="44">
        <v>46067</v>
      </c>
      <c r="G12" s="44">
        <v>46069</v>
      </c>
      <c r="H12" s="45">
        <f t="shared" si="0"/>
        <v>3</v>
      </c>
      <c r="I12" s="46" t="s">
        <v>57</v>
      </c>
      <c r="J12" s="47" t="s">
        <v>47</v>
      </c>
      <c r="K12" s="36"/>
      <c r="L12" s="36"/>
      <c r="M12" s="38"/>
      <c r="N12" s="37"/>
      <c r="O12" s="38"/>
      <c r="P12" s="37"/>
      <c r="Q12" s="38"/>
      <c r="R12" s="37"/>
      <c r="S12" s="38"/>
      <c r="T12" s="37"/>
      <c r="U12" s="38"/>
      <c r="V12" s="37"/>
      <c r="W12" s="38"/>
      <c r="X12" s="37"/>
      <c r="Y12" s="38"/>
      <c r="Z12" s="37"/>
      <c r="AA12" s="38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spans="1:257" s="4" customFormat="1" ht="21.95" customHeight="1" outlineLevel="1" x14ac:dyDescent="0.2">
      <c r="A13" s="27"/>
      <c r="B13" s="28" t="s">
        <v>58</v>
      </c>
      <c r="C13" s="29" t="s">
        <v>59</v>
      </c>
      <c r="D13" s="30" t="s">
        <v>44</v>
      </c>
      <c r="E13" s="31" t="s">
        <v>60</v>
      </c>
      <c r="F13" s="32">
        <v>46067</v>
      </c>
      <c r="G13" s="32">
        <v>46067</v>
      </c>
      <c r="H13" s="33">
        <f t="shared" si="0"/>
        <v>1</v>
      </c>
      <c r="I13" s="34" t="s">
        <v>61</v>
      </c>
      <c r="J13" s="35" t="s">
        <v>47</v>
      </c>
      <c r="K13" s="36"/>
      <c r="L13" s="37"/>
      <c r="M13" s="38"/>
      <c r="N13" s="37"/>
      <c r="O13" s="38"/>
      <c r="P13" s="37"/>
      <c r="Q13" s="38"/>
      <c r="R13" s="37"/>
      <c r="S13" s="38"/>
      <c r="T13" s="37"/>
      <c r="U13" s="38"/>
      <c r="V13" s="37"/>
      <c r="W13" s="38"/>
      <c r="X13" s="37"/>
      <c r="Y13" s="38"/>
      <c r="Z13" s="37"/>
      <c r="AA13" s="38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spans="1:257" s="4" customFormat="1" ht="21.95" customHeight="1" outlineLevel="1" x14ac:dyDescent="0.2">
      <c r="A14" s="19"/>
      <c r="B14" s="20" t="s">
        <v>62</v>
      </c>
      <c r="C14" s="21" t="s">
        <v>63</v>
      </c>
      <c r="D14" s="19"/>
      <c r="E14" s="48" t="s">
        <v>41</v>
      </c>
      <c r="F14" s="23">
        <v>46070</v>
      </c>
      <c r="G14" s="23">
        <v>46090</v>
      </c>
      <c r="H14" s="24">
        <f t="shared" si="0"/>
        <v>21</v>
      </c>
      <c r="I14" s="19"/>
      <c r="J14" s="19"/>
      <c r="K14" s="19"/>
      <c r="L14" s="25"/>
      <c r="M14" s="25"/>
      <c r="N14" s="25"/>
      <c r="O14" s="25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</row>
    <row r="15" spans="1:257" s="4" customFormat="1" ht="21.95" customHeight="1" outlineLevel="1" x14ac:dyDescent="0.2">
      <c r="A15" s="27"/>
      <c r="B15" s="28" t="s">
        <v>64</v>
      </c>
      <c r="C15" s="29" t="s">
        <v>65</v>
      </c>
      <c r="D15" s="30" t="s">
        <v>44</v>
      </c>
      <c r="E15" s="31" t="s">
        <v>45</v>
      </c>
      <c r="F15" s="32">
        <v>46074</v>
      </c>
      <c r="G15" s="32">
        <v>46074</v>
      </c>
      <c r="H15" s="33">
        <f t="shared" si="0"/>
        <v>1</v>
      </c>
      <c r="I15" s="34" t="s">
        <v>66</v>
      </c>
      <c r="J15" s="35" t="s">
        <v>47</v>
      </c>
      <c r="K15" s="38"/>
      <c r="L15" s="36"/>
      <c r="M15" s="38"/>
      <c r="N15" s="37"/>
      <c r="O15" s="38"/>
      <c r="P15" s="37"/>
      <c r="Q15" s="38"/>
      <c r="R15" s="37"/>
      <c r="S15" s="38"/>
      <c r="T15" s="37"/>
      <c r="U15" s="38"/>
      <c r="V15" s="37"/>
      <c r="W15" s="38"/>
      <c r="X15" s="37"/>
      <c r="Y15" s="38"/>
      <c r="Z15" s="37"/>
      <c r="AA15" s="38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</row>
    <row r="16" spans="1:257" s="4" customFormat="1" ht="21.95" customHeight="1" x14ac:dyDescent="0.2">
      <c r="A16" s="39"/>
      <c r="B16" s="40" t="s">
        <v>67</v>
      </c>
      <c r="C16" s="41" t="s">
        <v>68</v>
      </c>
      <c r="D16" s="42" t="s">
        <v>44</v>
      </c>
      <c r="E16" s="43" t="s">
        <v>45</v>
      </c>
      <c r="F16" s="44">
        <v>46079</v>
      </c>
      <c r="G16" s="44">
        <v>46080</v>
      </c>
      <c r="H16" s="45">
        <f t="shared" si="0"/>
        <v>2</v>
      </c>
      <c r="I16" s="46" t="s">
        <v>69</v>
      </c>
      <c r="J16" s="47" t="s">
        <v>47</v>
      </c>
      <c r="K16" s="38"/>
      <c r="L16" s="37"/>
      <c r="M16" s="36"/>
      <c r="N16" s="37"/>
      <c r="O16" s="38"/>
      <c r="P16" s="37"/>
      <c r="Q16" s="38"/>
      <c r="R16" s="37"/>
      <c r="S16" s="38"/>
      <c r="T16" s="37"/>
      <c r="U16" s="38"/>
      <c r="V16" s="37"/>
      <c r="W16" s="38"/>
      <c r="X16" s="37"/>
      <c r="Y16" s="38"/>
      <c r="Z16" s="37"/>
      <c r="AA16" s="38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</row>
    <row r="17" spans="1:257" s="4" customFormat="1" ht="21.95" customHeight="1" outlineLevel="1" x14ac:dyDescent="0.2">
      <c r="A17" s="27"/>
      <c r="B17" s="28" t="s">
        <v>70</v>
      </c>
      <c r="C17" s="29" t="s">
        <v>71</v>
      </c>
      <c r="D17" s="30" t="s">
        <v>44</v>
      </c>
      <c r="E17" s="31" t="s">
        <v>72</v>
      </c>
      <c r="F17" s="32">
        <v>46070</v>
      </c>
      <c r="G17" s="32">
        <v>46077</v>
      </c>
      <c r="H17" s="33">
        <f t="shared" si="0"/>
        <v>8</v>
      </c>
      <c r="I17" s="34" t="s">
        <v>73</v>
      </c>
      <c r="J17" s="35" t="s">
        <v>47</v>
      </c>
      <c r="K17" s="38"/>
      <c r="L17" s="36"/>
      <c r="M17" s="36"/>
      <c r="N17" s="37"/>
      <c r="O17" s="38"/>
      <c r="P17" s="37"/>
      <c r="Q17" s="38"/>
      <c r="R17" s="37"/>
      <c r="S17" s="38"/>
      <c r="T17" s="37"/>
      <c r="U17" s="38"/>
      <c r="V17" s="37"/>
      <c r="W17" s="38"/>
      <c r="X17" s="37"/>
      <c r="Y17" s="38"/>
      <c r="Z17" s="37"/>
      <c r="AA17" s="38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</row>
    <row r="18" spans="1:257" s="4" customFormat="1" ht="21.95" customHeight="1" outlineLevel="1" x14ac:dyDescent="0.2">
      <c r="A18" s="39"/>
      <c r="B18" s="40" t="s">
        <v>74</v>
      </c>
      <c r="C18" s="41" t="s">
        <v>75</v>
      </c>
      <c r="D18" s="42" t="s">
        <v>44</v>
      </c>
      <c r="E18" s="43" t="s">
        <v>45</v>
      </c>
      <c r="F18" s="44">
        <v>46070</v>
      </c>
      <c r="G18" s="44">
        <v>46072</v>
      </c>
      <c r="H18" s="45">
        <f t="shared" si="0"/>
        <v>3</v>
      </c>
      <c r="I18" s="46" t="s">
        <v>76</v>
      </c>
      <c r="J18" s="47" t="s">
        <v>47</v>
      </c>
      <c r="K18" s="38"/>
      <c r="L18" s="36"/>
      <c r="M18" s="38"/>
      <c r="N18" s="37"/>
      <c r="O18" s="38"/>
      <c r="P18" s="37"/>
      <c r="Q18" s="38"/>
      <c r="R18" s="37"/>
      <c r="S18" s="38"/>
      <c r="T18" s="37"/>
      <c r="U18" s="38"/>
      <c r="V18" s="37"/>
      <c r="W18" s="38"/>
      <c r="X18" s="37"/>
      <c r="Y18" s="38"/>
      <c r="Z18" s="37"/>
      <c r="AA18" s="38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</row>
    <row r="19" spans="1:257" s="4" customFormat="1" ht="21.95" customHeight="1" outlineLevel="1" x14ac:dyDescent="0.2">
      <c r="A19" s="27"/>
      <c r="B19" s="28" t="s">
        <v>77</v>
      </c>
      <c r="C19" s="29" t="s">
        <v>78</v>
      </c>
      <c r="D19" s="42" t="s">
        <v>44</v>
      </c>
      <c r="E19" s="31" t="s">
        <v>79</v>
      </c>
      <c r="F19" s="32">
        <v>46077</v>
      </c>
      <c r="G19" s="32">
        <v>46085</v>
      </c>
      <c r="H19" s="33">
        <f t="shared" si="0"/>
        <v>9</v>
      </c>
      <c r="I19" s="34" t="s">
        <v>80</v>
      </c>
      <c r="J19" s="35" t="s">
        <v>47</v>
      </c>
      <c r="K19" s="38"/>
      <c r="L19" s="37"/>
      <c r="M19" s="36"/>
      <c r="N19" s="36"/>
      <c r="O19" s="38"/>
      <c r="P19" s="37"/>
      <c r="Q19" s="38"/>
      <c r="R19" s="37"/>
      <c r="S19" s="38"/>
      <c r="T19" s="37"/>
      <c r="U19" s="38"/>
      <c r="V19" s="37"/>
      <c r="W19" s="38"/>
      <c r="X19" s="37"/>
      <c r="Y19" s="38"/>
      <c r="Z19" s="37"/>
      <c r="AA19" s="38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</row>
    <row r="20" spans="1:257" s="4" customFormat="1" ht="21.95" customHeight="1" outlineLevel="1" x14ac:dyDescent="0.2">
      <c r="A20" s="39"/>
      <c r="B20" s="40" t="s">
        <v>81</v>
      </c>
      <c r="C20" s="41" t="s">
        <v>82</v>
      </c>
      <c r="D20" s="42" t="s">
        <v>44</v>
      </c>
      <c r="E20" s="49" t="s">
        <v>72</v>
      </c>
      <c r="F20" s="44">
        <v>46077</v>
      </c>
      <c r="G20" s="44">
        <v>46090</v>
      </c>
      <c r="H20" s="45">
        <f t="shared" si="0"/>
        <v>14</v>
      </c>
      <c r="I20" s="46" t="s">
        <v>83</v>
      </c>
      <c r="J20" s="47" t="s">
        <v>47</v>
      </c>
      <c r="K20" s="38"/>
      <c r="L20" s="37"/>
      <c r="M20" s="36"/>
      <c r="N20" s="36"/>
      <c r="O20" s="36"/>
      <c r="P20" s="37"/>
      <c r="Q20" s="38"/>
      <c r="R20" s="37"/>
      <c r="S20" s="38"/>
      <c r="T20" s="37"/>
      <c r="U20" s="38"/>
      <c r="V20" s="37"/>
      <c r="W20" s="38"/>
      <c r="X20" s="37"/>
      <c r="Y20" s="38"/>
      <c r="Z20" s="37"/>
      <c r="AA20" s="38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  <c r="IW20" s="3"/>
    </row>
    <row r="21" spans="1:257" s="4" customFormat="1" ht="21.95" customHeight="1" x14ac:dyDescent="0.2">
      <c r="A21" s="19"/>
      <c r="B21" s="20" t="s">
        <v>84</v>
      </c>
      <c r="C21" s="21" t="s">
        <v>85</v>
      </c>
      <c r="D21" s="19"/>
      <c r="E21" s="22" t="s">
        <v>86</v>
      </c>
      <c r="F21" s="23">
        <v>46091</v>
      </c>
      <c r="G21" s="23">
        <v>46132</v>
      </c>
      <c r="H21" s="24">
        <f t="shared" si="0"/>
        <v>42</v>
      </c>
      <c r="I21" s="19"/>
      <c r="J21" s="19"/>
      <c r="K21" s="19"/>
      <c r="L21" s="19"/>
      <c r="M21" s="19"/>
      <c r="N21" s="19"/>
      <c r="O21" s="25"/>
      <c r="P21" s="25"/>
      <c r="Q21" s="25"/>
      <c r="R21" s="25"/>
      <c r="S21" s="25"/>
      <c r="T21" s="25"/>
      <c r="U21" s="25"/>
      <c r="V21" s="19"/>
      <c r="W21" s="19"/>
      <c r="X21" s="19"/>
      <c r="Y21" s="19"/>
      <c r="Z21" s="19"/>
      <c r="AA21" s="19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</row>
    <row r="22" spans="1:257" s="4" customFormat="1" ht="21.95" customHeight="1" outlineLevel="1" x14ac:dyDescent="0.2">
      <c r="A22" s="27"/>
      <c r="B22" s="28" t="s">
        <v>87</v>
      </c>
      <c r="C22" s="29" t="s">
        <v>88</v>
      </c>
      <c r="D22" s="54" t="s">
        <v>97</v>
      </c>
      <c r="E22" s="50" t="s">
        <v>72</v>
      </c>
      <c r="F22" s="32">
        <v>46091</v>
      </c>
      <c r="G22" s="32">
        <v>46101</v>
      </c>
      <c r="H22" s="33">
        <f t="shared" si="0"/>
        <v>11</v>
      </c>
      <c r="I22" s="34" t="s">
        <v>89</v>
      </c>
      <c r="J22" s="51" t="s">
        <v>90</v>
      </c>
      <c r="K22" s="38"/>
      <c r="L22" s="37"/>
      <c r="M22" s="38"/>
      <c r="N22" s="37"/>
      <c r="O22" s="52"/>
      <c r="P22" s="52"/>
      <c r="Q22" s="38"/>
      <c r="R22" s="37"/>
      <c r="S22" s="38"/>
      <c r="T22" s="37"/>
      <c r="U22" s="38"/>
      <c r="V22" s="37"/>
      <c r="W22" s="38"/>
      <c r="X22" s="37"/>
      <c r="Y22" s="38"/>
      <c r="Z22" s="37"/>
      <c r="AA22" s="38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</row>
    <row r="23" spans="1:257" s="4" customFormat="1" ht="21.95" customHeight="1" outlineLevel="1" x14ac:dyDescent="0.2">
      <c r="A23" s="39"/>
      <c r="B23" s="40" t="s">
        <v>91</v>
      </c>
      <c r="C23" s="41" t="s">
        <v>92</v>
      </c>
      <c r="D23" s="42" t="s">
        <v>44</v>
      </c>
      <c r="E23" s="49" t="s">
        <v>93</v>
      </c>
      <c r="F23" s="44">
        <v>46098</v>
      </c>
      <c r="G23" s="44">
        <v>46111</v>
      </c>
      <c r="H23" s="45">
        <f t="shared" si="0"/>
        <v>14</v>
      </c>
      <c r="I23" s="46" t="s">
        <v>94</v>
      </c>
      <c r="J23" s="53" t="s">
        <v>90</v>
      </c>
      <c r="K23" s="38"/>
      <c r="L23" s="37"/>
      <c r="M23" s="38"/>
      <c r="N23" s="37"/>
      <c r="O23" s="38"/>
      <c r="P23" s="52"/>
      <c r="Q23" s="52"/>
      <c r="R23" s="52"/>
      <c r="S23" s="38"/>
      <c r="T23" s="37"/>
      <c r="U23" s="38"/>
      <c r="V23" s="37"/>
      <c r="W23" s="38"/>
      <c r="X23" s="37"/>
      <c r="Y23" s="38"/>
      <c r="Z23" s="37"/>
      <c r="AA23" s="38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</row>
    <row r="24" spans="1:257" s="4" customFormat="1" ht="21.95" customHeight="1" outlineLevel="1" x14ac:dyDescent="0.2">
      <c r="A24" s="27"/>
      <c r="B24" s="28" t="s">
        <v>95</v>
      </c>
      <c r="C24" s="29" t="s">
        <v>96</v>
      </c>
      <c r="D24" s="42" t="s">
        <v>44</v>
      </c>
      <c r="E24" s="31" t="s">
        <v>79</v>
      </c>
      <c r="F24" s="32">
        <v>46105</v>
      </c>
      <c r="G24" s="32">
        <v>46117</v>
      </c>
      <c r="H24" s="33">
        <f t="shared" si="0"/>
        <v>13</v>
      </c>
      <c r="I24" s="34" t="s">
        <v>98</v>
      </c>
      <c r="J24" s="55" t="s">
        <v>99</v>
      </c>
      <c r="K24" s="38"/>
      <c r="L24" s="37"/>
      <c r="M24" s="38"/>
      <c r="N24" s="37"/>
      <c r="O24" s="38"/>
      <c r="P24" s="37"/>
      <c r="Q24" s="56"/>
      <c r="R24" s="56"/>
      <c r="S24" s="38"/>
      <c r="T24" s="37"/>
      <c r="U24" s="38"/>
      <c r="V24" s="37"/>
      <c r="W24" s="38"/>
      <c r="X24" s="37"/>
      <c r="Y24" s="38"/>
      <c r="Z24" s="37"/>
      <c r="AA24" s="38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</row>
    <row r="25" spans="1:257" s="4" customFormat="1" ht="21.95" customHeight="1" outlineLevel="1" x14ac:dyDescent="0.2">
      <c r="A25" s="39"/>
      <c r="B25" s="40" t="s">
        <v>100</v>
      </c>
      <c r="C25" s="41" t="s">
        <v>101</v>
      </c>
      <c r="D25" s="42" t="s">
        <v>44</v>
      </c>
      <c r="E25" s="43" t="s">
        <v>79</v>
      </c>
      <c r="F25" s="44">
        <v>46105</v>
      </c>
      <c r="G25" s="44">
        <v>46122</v>
      </c>
      <c r="H25" s="45">
        <f t="shared" si="0"/>
        <v>18</v>
      </c>
      <c r="I25" s="46" t="s">
        <v>102</v>
      </c>
      <c r="J25" s="58" t="s">
        <v>99</v>
      </c>
      <c r="K25" s="38"/>
      <c r="L25" s="37"/>
      <c r="M25" s="38"/>
      <c r="N25" s="37"/>
      <c r="O25" s="38"/>
      <c r="P25" s="37"/>
      <c r="Q25" s="56"/>
      <c r="R25" s="56"/>
      <c r="S25" s="56"/>
      <c r="T25" s="37"/>
      <c r="U25" s="38"/>
      <c r="V25" s="37"/>
      <c r="W25" s="38"/>
      <c r="X25" s="37"/>
      <c r="Y25" s="38"/>
      <c r="Z25" s="37"/>
      <c r="AA25" s="38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</row>
    <row r="26" spans="1:257" s="4" customFormat="1" ht="21.95" customHeight="1" outlineLevel="1" x14ac:dyDescent="0.2">
      <c r="A26" s="27"/>
      <c r="B26" s="28" t="s">
        <v>103</v>
      </c>
      <c r="C26" s="29" t="s">
        <v>104</v>
      </c>
      <c r="D26" s="42" t="s">
        <v>44</v>
      </c>
      <c r="E26" s="31" t="s">
        <v>79</v>
      </c>
      <c r="F26" s="32">
        <v>46106</v>
      </c>
      <c r="G26" s="32">
        <v>46122</v>
      </c>
      <c r="H26" s="33">
        <f t="shared" si="0"/>
        <v>17</v>
      </c>
      <c r="I26" s="34" t="s">
        <v>105</v>
      </c>
      <c r="J26" s="55" t="s">
        <v>99</v>
      </c>
      <c r="K26" s="38"/>
      <c r="L26" s="37"/>
      <c r="M26" s="38"/>
      <c r="N26" s="37"/>
      <c r="O26" s="38"/>
      <c r="P26" s="37"/>
      <c r="Q26" s="56"/>
      <c r="R26" s="56"/>
      <c r="S26" s="56"/>
      <c r="T26" s="37"/>
      <c r="U26" s="38"/>
      <c r="V26" s="37"/>
      <c r="W26" s="38"/>
      <c r="X26" s="37"/>
      <c r="Y26" s="38"/>
      <c r="Z26" s="37"/>
      <c r="AA26" s="38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</row>
    <row r="27" spans="1:257" s="4" customFormat="1" ht="21.95" customHeight="1" outlineLevel="1" x14ac:dyDescent="0.2">
      <c r="A27" s="39"/>
      <c r="B27" s="40" t="s">
        <v>106</v>
      </c>
      <c r="C27" s="41" t="s">
        <v>107</v>
      </c>
      <c r="D27" s="42" t="s">
        <v>44</v>
      </c>
      <c r="E27" s="43" t="s">
        <v>79</v>
      </c>
      <c r="F27" s="44">
        <v>46106</v>
      </c>
      <c r="G27" s="44">
        <v>46127</v>
      </c>
      <c r="H27" s="45">
        <f t="shared" si="0"/>
        <v>22</v>
      </c>
      <c r="I27" s="46" t="s">
        <v>108</v>
      </c>
      <c r="J27" s="58" t="s">
        <v>99</v>
      </c>
      <c r="K27" s="38"/>
      <c r="L27" s="37"/>
      <c r="M27" s="38"/>
      <c r="N27" s="37"/>
      <c r="O27" s="38"/>
      <c r="P27" s="37"/>
      <c r="Q27" s="56"/>
      <c r="R27" s="56"/>
      <c r="S27" s="56"/>
      <c r="T27" s="56"/>
      <c r="U27" s="38"/>
      <c r="V27" s="37"/>
      <c r="W27" s="38"/>
      <c r="X27" s="37"/>
      <c r="Y27" s="38"/>
      <c r="Z27" s="37"/>
      <c r="AA27" s="38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</row>
    <row r="28" spans="1:257" s="4" customFormat="1" ht="21.95" customHeight="1" x14ac:dyDescent="0.2">
      <c r="A28" s="27"/>
      <c r="B28" s="28" t="s">
        <v>109</v>
      </c>
      <c r="C28" s="29" t="s">
        <v>110</v>
      </c>
      <c r="D28" s="54" t="s">
        <v>97</v>
      </c>
      <c r="E28" s="31" t="s">
        <v>72</v>
      </c>
      <c r="F28" s="32">
        <v>46108</v>
      </c>
      <c r="G28" s="32">
        <v>46121</v>
      </c>
      <c r="H28" s="33">
        <f t="shared" si="0"/>
        <v>14</v>
      </c>
      <c r="I28" s="34" t="s">
        <v>111</v>
      </c>
      <c r="J28" s="55" t="s">
        <v>99</v>
      </c>
      <c r="K28" s="38"/>
      <c r="L28" s="37"/>
      <c r="M28" s="38"/>
      <c r="N28" s="37"/>
      <c r="O28" s="38"/>
      <c r="P28" s="37"/>
      <c r="Q28" s="56"/>
      <c r="R28" s="56"/>
      <c r="S28" s="56"/>
      <c r="T28" s="37"/>
      <c r="U28" s="38"/>
      <c r="V28" s="37"/>
      <c r="W28" s="38"/>
      <c r="X28" s="37"/>
      <c r="Y28" s="38"/>
      <c r="Z28" s="37"/>
      <c r="AA28" s="38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</row>
    <row r="29" spans="1:257" s="4" customFormat="1" ht="21.95" customHeight="1" outlineLevel="1" x14ac:dyDescent="0.2">
      <c r="A29" s="39"/>
      <c r="B29" s="40" t="s">
        <v>112</v>
      </c>
      <c r="C29" s="41" t="s">
        <v>113</v>
      </c>
      <c r="D29" s="42" t="s">
        <v>44</v>
      </c>
      <c r="E29" s="43" t="s">
        <v>72</v>
      </c>
      <c r="F29" s="44">
        <v>46106</v>
      </c>
      <c r="G29" s="44">
        <v>46132</v>
      </c>
      <c r="H29" s="45">
        <f t="shared" si="0"/>
        <v>27</v>
      </c>
      <c r="I29" s="46" t="s">
        <v>114</v>
      </c>
      <c r="J29" s="58" t="s">
        <v>99</v>
      </c>
      <c r="K29" s="38"/>
      <c r="L29" s="37"/>
      <c r="M29" s="38"/>
      <c r="N29" s="37"/>
      <c r="O29" s="38"/>
      <c r="P29" s="37"/>
      <c r="Q29" s="56"/>
      <c r="R29" s="56"/>
      <c r="S29" s="56"/>
      <c r="T29" s="56"/>
      <c r="U29" s="56"/>
      <c r="V29" s="37"/>
      <c r="W29" s="38"/>
      <c r="X29" s="37"/>
      <c r="Y29" s="38"/>
      <c r="Z29" s="37"/>
      <c r="AA29" s="38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</row>
    <row r="30" spans="1:257" s="4" customFormat="1" ht="21.95" customHeight="1" outlineLevel="1" x14ac:dyDescent="0.2">
      <c r="A30" s="19"/>
      <c r="B30" s="20" t="s">
        <v>115</v>
      </c>
      <c r="C30" s="21" t="s">
        <v>116</v>
      </c>
      <c r="D30" s="19"/>
      <c r="E30" s="48" t="s">
        <v>117</v>
      </c>
      <c r="F30" s="23">
        <v>46133</v>
      </c>
      <c r="G30" s="23">
        <v>46157</v>
      </c>
      <c r="H30" s="24">
        <f t="shared" si="0"/>
        <v>25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5"/>
      <c r="V30" s="25"/>
      <c r="W30" s="25"/>
      <c r="X30" s="25"/>
      <c r="Y30" s="19"/>
      <c r="Z30" s="19"/>
      <c r="AA30" s="19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</row>
    <row r="31" spans="1:257" s="4" customFormat="1" ht="21.95" customHeight="1" outlineLevel="1" x14ac:dyDescent="0.2">
      <c r="A31" s="27"/>
      <c r="B31" s="28" t="s">
        <v>118</v>
      </c>
      <c r="C31" s="29" t="s">
        <v>119</v>
      </c>
      <c r="D31" s="42" t="s">
        <v>44</v>
      </c>
      <c r="E31" s="31" t="s">
        <v>120</v>
      </c>
      <c r="F31" s="32">
        <v>46141</v>
      </c>
      <c r="G31" s="32">
        <v>46153</v>
      </c>
      <c r="H31" s="33">
        <f t="shared" si="0"/>
        <v>13</v>
      </c>
      <c r="I31" s="34" t="s">
        <v>121</v>
      </c>
      <c r="J31" s="55" t="s">
        <v>99</v>
      </c>
      <c r="K31" s="38"/>
      <c r="L31" s="37"/>
      <c r="M31" s="38"/>
      <c r="N31" s="37"/>
      <c r="O31" s="38"/>
      <c r="P31" s="37"/>
      <c r="Q31" s="38"/>
      <c r="R31" s="37"/>
      <c r="S31" s="38"/>
      <c r="T31" s="37"/>
      <c r="U31" s="38"/>
      <c r="V31" s="56"/>
      <c r="W31" s="56"/>
      <c r="X31" s="56"/>
      <c r="Y31" s="38"/>
      <c r="Z31" s="37"/>
      <c r="AA31" s="38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</row>
    <row r="32" spans="1:257" s="4" customFormat="1" ht="21.95" customHeight="1" outlineLevel="1" x14ac:dyDescent="0.2">
      <c r="A32" s="39"/>
      <c r="B32" s="40" t="s">
        <v>122</v>
      </c>
      <c r="C32" s="41" t="s">
        <v>123</v>
      </c>
      <c r="D32" s="42" t="s">
        <v>44</v>
      </c>
      <c r="E32" s="43" t="s">
        <v>79</v>
      </c>
      <c r="F32" s="44">
        <v>46142</v>
      </c>
      <c r="G32" s="44">
        <v>46150</v>
      </c>
      <c r="H32" s="45">
        <f t="shared" si="0"/>
        <v>9</v>
      </c>
      <c r="I32" s="46" t="s">
        <v>124</v>
      </c>
      <c r="J32" s="58" t="s">
        <v>99</v>
      </c>
      <c r="K32" s="38"/>
      <c r="L32" s="37"/>
      <c r="M32" s="38"/>
      <c r="N32" s="37"/>
      <c r="O32" s="38"/>
      <c r="P32" s="37"/>
      <c r="Q32" s="38"/>
      <c r="R32" s="37"/>
      <c r="S32" s="38"/>
      <c r="T32" s="37"/>
      <c r="U32" s="38"/>
      <c r="V32" s="56"/>
      <c r="W32" s="56"/>
      <c r="X32" s="37"/>
      <c r="Y32" s="38"/>
      <c r="Z32" s="37"/>
      <c r="AA32" s="38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</row>
    <row r="33" spans="1:257" ht="21.95" customHeight="1" x14ac:dyDescent="0.25">
      <c r="A33" s="27"/>
      <c r="B33" s="28" t="s">
        <v>125</v>
      </c>
      <c r="C33" s="29" t="s">
        <v>126</v>
      </c>
      <c r="D33" s="42" t="s">
        <v>44</v>
      </c>
      <c r="E33" s="50" t="s">
        <v>127</v>
      </c>
      <c r="F33" s="32">
        <v>46142</v>
      </c>
      <c r="G33" s="32">
        <v>46154</v>
      </c>
      <c r="H33" s="59">
        <f t="shared" si="0"/>
        <v>13</v>
      </c>
      <c r="I33" s="34" t="s">
        <v>128</v>
      </c>
      <c r="J33" s="55" t="s">
        <v>99</v>
      </c>
      <c r="K33" s="38"/>
      <c r="L33" s="37"/>
      <c r="M33" s="38"/>
      <c r="N33" s="37"/>
      <c r="O33" s="38"/>
      <c r="P33" s="37"/>
      <c r="Q33" s="38"/>
      <c r="R33" s="37"/>
      <c r="S33" s="38"/>
      <c r="T33" s="37"/>
      <c r="U33" s="38"/>
      <c r="V33" s="56"/>
      <c r="W33" s="56"/>
      <c r="X33" s="56"/>
      <c r="Y33" s="38"/>
      <c r="Z33" s="37"/>
      <c r="AA33" s="38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spans="1:257" ht="21.95" customHeight="1" x14ac:dyDescent="0.25">
      <c r="A34" s="39"/>
      <c r="B34" s="40" t="s">
        <v>129</v>
      </c>
      <c r="C34" s="41" t="s">
        <v>130</v>
      </c>
      <c r="D34" s="42" t="s">
        <v>44</v>
      </c>
      <c r="E34" s="49" t="s">
        <v>120</v>
      </c>
      <c r="F34" s="44">
        <v>46142</v>
      </c>
      <c r="G34" s="44">
        <v>46154</v>
      </c>
      <c r="H34" s="60">
        <f t="shared" si="0"/>
        <v>13</v>
      </c>
      <c r="I34" s="46" t="s">
        <v>131</v>
      </c>
      <c r="J34" s="58" t="s">
        <v>99</v>
      </c>
      <c r="K34" s="38"/>
      <c r="L34" s="37"/>
      <c r="M34" s="38"/>
      <c r="N34" s="37"/>
      <c r="O34" s="38"/>
      <c r="P34" s="37"/>
      <c r="Q34" s="38"/>
      <c r="R34" s="37"/>
      <c r="S34" s="38"/>
      <c r="T34" s="37"/>
      <c r="U34" s="38"/>
      <c r="V34" s="56"/>
      <c r="W34" s="56"/>
      <c r="X34" s="56"/>
      <c r="Y34" s="38"/>
      <c r="Z34" s="37"/>
      <c r="AA34" s="38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spans="1:257" ht="21.95" customHeight="1" x14ac:dyDescent="0.25">
      <c r="A35" s="27"/>
      <c r="B35" s="28" t="s">
        <v>132</v>
      </c>
      <c r="C35" s="29" t="s">
        <v>133</v>
      </c>
      <c r="D35" s="54" t="s">
        <v>97</v>
      </c>
      <c r="E35" s="50" t="s">
        <v>45</v>
      </c>
      <c r="F35" s="32">
        <v>46133</v>
      </c>
      <c r="G35" s="32">
        <v>46157</v>
      </c>
      <c r="H35" s="59">
        <f t="shared" si="0"/>
        <v>25</v>
      </c>
      <c r="I35" s="34" t="s">
        <v>134</v>
      </c>
      <c r="J35" s="55" t="s">
        <v>99</v>
      </c>
      <c r="K35" s="38"/>
      <c r="L35" s="37"/>
      <c r="M35" s="38"/>
      <c r="N35" s="37"/>
      <c r="O35" s="38"/>
      <c r="P35" s="37"/>
      <c r="Q35" s="38"/>
      <c r="R35" s="37"/>
      <c r="S35" s="38"/>
      <c r="T35" s="37"/>
      <c r="U35" s="56"/>
      <c r="V35" s="56"/>
      <c r="W35" s="56"/>
      <c r="X35" s="56"/>
      <c r="Y35" s="38"/>
      <c r="Z35" s="37"/>
      <c r="AA35" s="38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spans="1:257" ht="21.95" customHeight="1" x14ac:dyDescent="0.25">
      <c r="A36" s="19"/>
      <c r="B36" s="20" t="s">
        <v>135</v>
      </c>
      <c r="C36" s="21" t="s">
        <v>136</v>
      </c>
      <c r="D36" s="19"/>
      <c r="E36" s="22" t="s">
        <v>45</v>
      </c>
      <c r="F36" s="23">
        <v>46158</v>
      </c>
      <c r="G36" s="23">
        <v>46172</v>
      </c>
      <c r="H36" s="22">
        <f t="shared" si="0"/>
        <v>15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25"/>
      <c r="Y36" s="25"/>
      <c r="Z36" s="25"/>
      <c r="AA36" s="19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spans="1:257" ht="21.95" customHeight="1" x14ac:dyDescent="0.25">
      <c r="A37" s="27"/>
      <c r="B37" s="28" t="s">
        <v>137</v>
      </c>
      <c r="C37" s="29" t="s">
        <v>138</v>
      </c>
      <c r="D37" s="54" t="s">
        <v>97</v>
      </c>
      <c r="E37" s="50" t="s">
        <v>72</v>
      </c>
      <c r="F37" s="32">
        <v>46158</v>
      </c>
      <c r="G37" s="32">
        <v>46162</v>
      </c>
      <c r="H37" s="59">
        <f t="shared" si="0"/>
        <v>5</v>
      </c>
      <c r="I37" s="34" t="s">
        <v>139</v>
      </c>
      <c r="J37" s="55" t="s">
        <v>99</v>
      </c>
      <c r="K37" s="38"/>
      <c r="L37" s="37"/>
      <c r="M37" s="38"/>
      <c r="N37" s="37"/>
      <c r="O37" s="38"/>
      <c r="P37" s="37"/>
      <c r="Q37" s="38"/>
      <c r="R37" s="37"/>
      <c r="S37" s="38"/>
      <c r="T37" s="37"/>
      <c r="U37" s="38"/>
      <c r="V37" s="37"/>
      <c r="W37" s="38"/>
      <c r="X37" s="56"/>
      <c r="Y37" s="56"/>
      <c r="Z37" s="37"/>
      <c r="AA37" s="38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spans="1:257" ht="21.95" customHeight="1" x14ac:dyDescent="0.25">
      <c r="A38" s="39"/>
      <c r="B38" s="40" t="s">
        <v>140</v>
      </c>
      <c r="C38" s="41" t="s">
        <v>141</v>
      </c>
      <c r="D38" s="57" t="s">
        <v>97</v>
      </c>
      <c r="E38" s="49" t="s">
        <v>79</v>
      </c>
      <c r="F38" s="44">
        <v>46160</v>
      </c>
      <c r="G38" s="44">
        <v>46164</v>
      </c>
      <c r="H38" s="60">
        <f t="shared" si="0"/>
        <v>5</v>
      </c>
      <c r="I38" s="46" t="s">
        <v>142</v>
      </c>
      <c r="J38" s="58" t="s">
        <v>99</v>
      </c>
      <c r="K38" s="38"/>
      <c r="L38" s="37"/>
      <c r="M38" s="38"/>
      <c r="N38" s="37"/>
      <c r="O38" s="38"/>
      <c r="P38" s="37"/>
      <c r="Q38" s="38"/>
      <c r="R38" s="37"/>
      <c r="S38" s="38"/>
      <c r="T38" s="37"/>
      <c r="U38" s="38"/>
      <c r="V38" s="37"/>
      <c r="W38" s="38"/>
      <c r="X38" s="37"/>
      <c r="Y38" s="56"/>
      <c r="Z38" s="37"/>
      <c r="AA38" s="38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spans="1:257" ht="21.95" customHeight="1" x14ac:dyDescent="0.25">
      <c r="A39" s="27"/>
      <c r="B39" s="28" t="s">
        <v>143</v>
      </c>
      <c r="C39" s="29" t="s">
        <v>144</v>
      </c>
      <c r="D39" s="54" t="s">
        <v>97</v>
      </c>
      <c r="E39" s="50" t="s">
        <v>45</v>
      </c>
      <c r="F39" s="32">
        <v>46165</v>
      </c>
      <c r="G39" s="32">
        <v>46170</v>
      </c>
      <c r="H39" s="59">
        <f t="shared" si="0"/>
        <v>6</v>
      </c>
      <c r="I39" s="34" t="s">
        <v>145</v>
      </c>
      <c r="J39" s="55" t="s">
        <v>99</v>
      </c>
      <c r="K39" s="38"/>
      <c r="L39" s="37"/>
      <c r="M39" s="38"/>
      <c r="N39" s="37"/>
      <c r="O39" s="38"/>
      <c r="P39" s="37"/>
      <c r="Q39" s="38"/>
      <c r="R39" s="37"/>
      <c r="S39" s="38"/>
      <c r="T39" s="37"/>
      <c r="U39" s="38"/>
      <c r="V39" s="37"/>
      <c r="W39" s="38"/>
      <c r="X39" s="37"/>
      <c r="Y39" s="56"/>
      <c r="Z39" s="56"/>
      <c r="AA39" s="38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spans="1:257" ht="21.95" customHeight="1" x14ac:dyDescent="0.25">
      <c r="A40" s="39"/>
      <c r="B40" s="40" t="s">
        <v>146</v>
      </c>
      <c r="C40" s="41" t="s">
        <v>147</v>
      </c>
      <c r="D40" s="57" t="s">
        <v>97</v>
      </c>
      <c r="E40" s="49" t="s">
        <v>45</v>
      </c>
      <c r="F40" s="44">
        <v>46170</v>
      </c>
      <c r="G40" s="44">
        <v>46172</v>
      </c>
      <c r="H40" s="60">
        <f t="shared" si="0"/>
        <v>3</v>
      </c>
      <c r="I40" s="46" t="s">
        <v>148</v>
      </c>
      <c r="J40" s="58" t="s">
        <v>99</v>
      </c>
      <c r="K40" s="38"/>
      <c r="L40" s="37"/>
      <c r="M40" s="38"/>
      <c r="N40" s="37"/>
      <c r="O40" s="38"/>
      <c r="P40" s="37"/>
      <c r="Q40" s="38"/>
      <c r="R40" s="37"/>
      <c r="S40" s="38"/>
      <c r="T40" s="37"/>
      <c r="U40" s="38"/>
      <c r="V40" s="37"/>
      <c r="W40" s="38"/>
      <c r="X40" s="37"/>
      <c r="Y40" s="38"/>
      <c r="Z40" s="56"/>
      <c r="AA40" s="38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spans="1:257" ht="15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spans="1:257" ht="18" customHeight="1" x14ac:dyDescent="0.25">
      <c r="A42" s="26"/>
      <c r="B42" s="61" t="s">
        <v>149</v>
      </c>
      <c r="C42" s="62"/>
      <c r="D42" s="26"/>
      <c r="E42" s="63"/>
      <c r="F42" s="26"/>
      <c r="G42" s="64"/>
      <c r="H42" s="26"/>
      <c r="I42" s="65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spans="1:257" ht="15" x14ac:dyDescent="0.25">
      <c r="A43" s="26"/>
      <c r="B43" s="26"/>
      <c r="C43" s="66" t="s">
        <v>47</v>
      </c>
      <c r="D43" s="26"/>
      <c r="E43" s="66" t="s">
        <v>90</v>
      </c>
      <c r="F43" s="26"/>
      <c r="G43" s="66" t="s">
        <v>150</v>
      </c>
      <c r="H43" s="26"/>
      <c r="I43" s="66" t="s">
        <v>99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spans="1:257" ht="15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spans="1:257" ht="15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spans="1:257" ht="15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spans="1:257" ht="15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spans="1:257" ht="15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spans="1:257" ht="15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spans="1:257" ht="15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spans="1:257" ht="15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pans="1:257" ht="15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spans="1:257" ht="15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spans="1:257" ht="15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spans="1:257" ht="15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spans="1:257" ht="15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spans="1:257" ht="15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spans="1:257" ht="15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spans="1:257" ht="15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spans="1:257" ht="15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spans="1:257" ht="15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spans="1:257" ht="15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spans="1:257" ht="15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spans="1:257" ht="15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spans="1:257" ht="15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spans="1:257" ht="15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</row>
    <row r="67" spans="1:257" ht="15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</row>
    <row r="68" spans="1:257" ht="15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69" spans="1:257" ht="15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</row>
    <row r="70" spans="1:257" ht="15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</row>
    <row r="71" spans="1:257" ht="15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</row>
    <row r="72" spans="1:257" ht="1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</row>
    <row r="73" spans="1:257" ht="15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</row>
    <row r="74" spans="1:257" ht="15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</row>
    <row r="75" spans="1:257" ht="15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</row>
    <row r="76" spans="1:257" ht="15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</row>
    <row r="77" spans="1:257" ht="15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</row>
    <row r="78" spans="1:257" ht="15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</row>
    <row r="79" spans="1:257" ht="15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</row>
    <row r="80" spans="1:257" ht="13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</row>
    <row r="81" spans="1:257" ht="13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</row>
    <row r="82" spans="1:257" ht="13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spans="1:257" ht="13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84" spans="1:257" ht="13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</row>
    <row r="85" spans="1:257" ht="13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86" spans="1:257" ht="13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</row>
    <row r="87" spans="1:257" ht="13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</row>
    <row r="88" spans="1:257" ht="13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</row>
    <row r="89" spans="1:257" ht="13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</row>
    <row r="90" spans="1:257" ht="13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</row>
    <row r="91" spans="1:257" ht="13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</row>
    <row r="92" spans="1:257" ht="13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3" spans="1:257" ht="13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</row>
    <row r="94" spans="1:257" ht="13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</row>
    <row r="95" spans="1:257" ht="13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</row>
    <row r="96" spans="1:257" ht="13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</row>
    <row r="97" spans="1:257" ht="13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</row>
    <row r="98" spans="1:257" ht="13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</row>
    <row r="99" spans="1:257" ht="13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</row>
    <row r="100" spans="1:257" ht="13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</row>
    <row r="101" spans="1:257" ht="13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</row>
    <row r="102" spans="1:257" ht="13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03" spans="1:257" ht="13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</row>
    <row r="104" spans="1:257" ht="13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</row>
    <row r="105" spans="1:257" ht="13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</row>
    <row r="106" spans="1:257" ht="13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</row>
    <row r="107" spans="1:257" ht="13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</row>
    <row r="108" spans="1:257" ht="13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</row>
    <row r="109" spans="1:257" ht="13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</row>
    <row r="110" spans="1:257" ht="13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</row>
    <row r="111" spans="1:257" ht="13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</row>
    <row r="112" spans="1:257" ht="13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</row>
    <row r="113" spans="1:257" ht="13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spans="1:257" ht="13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spans="1:257" ht="13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16" spans="1:257" ht="13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</row>
    <row r="117" spans="1:257" ht="13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spans="1:257" ht="13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spans="1:257" ht="13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spans="1:257" ht="13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spans="1:257" ht="13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spans="1:257" ht="13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spans="1:257" ht="13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spans="1:257" ht="13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spans="1:257" ht="13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spans="1:257" ht="13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spans="1:257" ht="13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spans="1:257" ht="13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</row>
    <row r="129" spans="1:257" ht="13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</row>
    <row r="130" spans="1:257" ht="13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</row>
    <row r="131" spans="1:257" ht="13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</row>
    <row r="132" spans="1:257" ht="13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</row>
    <row r="133" spans="1:257" ht="13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34" spans="1:257" ht="13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</row>
    <row r="135" spans="1:257" ht="13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</row>
    <row r="136" spans="1:257" ht="13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</row>
    <row r="137" spans="1:257" ht="13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</row>
    <row r="138" spans="1:257" ht="13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</row>
    <row r="139" spans="1:257" ht="13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</row>
    <row r="140" spans="1:257" ht="13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</row>
    <row r="141" spans="1:257" ht="13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</row>
    <row r="142" spans="1:257" ht="13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</row>
    <row r="143" spans="1:257" ht="13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</row>
    <row r="144" spans="1:257" ht="13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</row>
    <row r="145" spans="1:257" ht="13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</row>
    <row r="146" spans="1:257" ht="13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</row>
    <row r="147" spans="1:257" ht="13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</row>
    <row r="148" spans="1:257" ht="13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</row>
    <row r="149" spans="1:257" ht="13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</row>
    <row r="150" spans="1:257" ht="13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</row>
    <row r="151" spans="1:257" ht="13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</row>
    <row r="152" spans="1:257" ht="13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</row>
    <row r="153" spans="1:257" ht="13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</row>
    <row r="154" spans="1:257" ht="13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</row>
    <row r="155" spans="1:257" ht="13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</row>
    <row r="156" spans="1:257" ht="13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</row>
    <row r="157" spans="1:257" ht="13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</row>
    <row r="158" spans="1:257" ht="13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</row>
    <row r="159" spans="1:257" ht="13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</row>
    <row r="160" spans="1:257" ht="13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</row>
    <row r="161" spans="1:257" ht="13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</row>
    <row r="162" spans="1:257" ht="13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</row>
    <row r="163" spans="1:257" ht="13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</row>
    <row r="164" spans="1:257" ht="13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</row>
    <row r="165" spans="1:257" ht="13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</row>
    <row r="166" spans="1:257" ht="13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</row>
    <row r="167" spans="1:257" ht="13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</row>
    <row r="168" spans="1:257" ht="13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</row>
    <row r="169" spans="1:257" ht="13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</row>
    <row r="170" spans="1:257" ht="13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</row>
    <row r="171" spans="1:257" ht="13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</row>
    <row r="172" spans="1:257" ht="13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</row>
    <row r="173" spans="1:257" ht="13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</row>
    <row r="174" spans="1:257" ht="13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</row>
    <row r="175" spans="1:257" ht="13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</row>
    <row r="176" spans="1:257" ht="13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</row>
    <row r="177" spans="1:257" ht="13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</row>
    <row r="178" spans="1:257" ht="13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</row>
    <row r="179" spans="1:257" ht="13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</row>
    <row r="180" spans="1:257" ht="13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</row>
    <row r="181" spans="1:257" ht="13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</row>
    <row r="182" spans="1:257" ht="13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</row>
    <row r="183" spans="1:257" ht="13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</row>
    <row r="184" spans="1:257" ht="13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</row>
    <row r="185" spans="1:257" ht="13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</row>
    <row r="186" spans="1:257" ht="13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</row>
    <row r="187" spans="1:257" ht="13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</row>
    <row r="188" spans="1:257" ht="13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</row>
    <row r="189" spans="1:257" ht="13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</row>
    <row r="190" spans="1:257" ht="13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</row>
    <row r="191" spans="1:257" ht="13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</row>
    <row r="192" spans="1:257" ht="13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</row>
    <row r="193" spans="1:257" ht="13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</row>
    <row r="194" spans="1:257" ht="13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</row>
    <row r="195" spans="1:257" ht="13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</row>
    <row r="196" spans="1:257" ht="13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</row>
    <row r="197" spans="1:257" ht="13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</row>
    <row r="198" spans="1:257" ht="13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</row>
    <row r="199" spans="1:257" ht="13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</row>
    <row r="200" spans="1:257" ht="13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</row>
    <row r="201" spans="1:257" ht="13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</row>
    <row r="202" spans="1:257" ht="13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</row>
    <row r="203" spans="1:257" ht="13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</row>
    <row r="204" spans="1:257" ht="13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</row>
    <row r="205" spans="1:257" ht="13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</row>
    <row r="206" spans="1:257" ht="13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</row>
    <row r="207" spans="1:257" ht="13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</row>
    <row r="208" spans="1:257" ht="13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</row>
    <row r="209" spans="1:257" ht="13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</row>
    <row r="210" spans="1:257" ht="13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</row>
    <row r="211" spans="1:257" ht="13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</row>
    <row r="212" spans="1:257" ht="13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</row>
    <row r="213" spans="1:257" ht="13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</row>
    <row r="214" spans="1:257" ht="13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</row>
    <row r="215" spans="1:257" ht="13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</row>
    <row r="216" spans="1:257" ht="13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</row>
    <row r="217" spans="1:257" ht="13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</row>
    <row r="218" spans="1:257" ht="13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</row>
    <row r="219" spans="1:257" ht="13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</row>
    <row r="220" spans="1:257" ht="13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</row>
    <row r="221" spans="1:257" ht="13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</row>
    <row r="222" spans="1:257" ht="13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</row>
    <row r="223" spans="1:257" ht="13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</row>
    <row r="224" spans="1:257" ht="13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</row>
    <row r="225" spans="1:257" ht="13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</row>
    <row r="226" spans="1:257" ht="13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</row>
    <row r="227" spans="1:257" ht="13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</row>
    <row r="228" spans="1:257" ht="13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</row>
    <row r="229" spans="1:257" ht="13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</row>
    <row r="230" spans="1:257" ht="13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</row>
    <row r="231" spans="1:257" ht="13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</row>
    <row r="232" spans="1:257" ht="13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</row>
    <row r="233" spans="1:257" ht="13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</row>
    <row r="234" spans="1:257" ht="13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</row>
    <row r="235" spans="1:257" ht="13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</row>
    <row r="236" spans="1:257" ht="13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</row>
    <row r="237" spans="1:257" ht="13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</row>
    <row r="238" spans="1:257" ht="13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</row>
    <row r="239" spans="1:257" ht="13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</row>
    <row r="240" spans="1:257" ht="13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</row>
    <row r="241" spans="1:257" ht="13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</row>
    <row r="242" spans="1:257" ht="13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</row>
    <row r="243" spans="1:257" ht="13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</row>
    <row r="244" spans="1:257" ht="13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</row>
    <row r="245" spans="1:257" ht="13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</row>
    <row r="246" spans="1:257" ht="13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</row>
    <row r="247" spans="1:257" ht="13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</row>
    <row r="248" spans="1:257" ht="13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</row>
    <row r="249" spans="1:257" ht="13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</row>
    <row r="250" spans="1:257" ht="13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</row>
    <row r="251" spans="1:257" ht="13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</row>
    <row r="252" spans="1:257" ht="13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</row>
    <row r="253" spans="1:257" ht="13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</row>
    <row r="254" spans="1:257" ht="13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</row>
    <row r="255" spans="1:257" ht="13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</row>
    <row r="256" spans="1:257" ht="13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</row>
    <row r="257" spans="1:257" ht="13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</row>
    <row r="258" spans="1:257" ht="13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</row>
    <row r="259" spans="1:257" ht="13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</row>
    <row r="260" spans="1:257" ht="13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</row>
    <row r="261" spans="1:257" ht="13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</row>
    <row r="262" spans="1:257" ht="13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</row>
    <row r="263" spans="1:257" ht="13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</row>
    <row r="264" spans="1:257" ht="13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</row>
    <row r="265" spans="1:257" ht="13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</row>
    <row r="266" spans="1:257" ht="13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</row>
    <row r="267" spans="1:257" ht="13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</row>
    <row r="268" spans="1:257" ht="13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</row>
    <row r="269" spans="1:257" ht="13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</row>
    <row r="270" spans="1:257" ht="13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</row>
    <row r="271" spans="1:257" ht="13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</row>
    <row r="272" spans="1:257" ht="13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</row>
    <row r="273" spans="1:257" ht="13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</row>
    <row r="274" spans="1:257" ht="13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</row>
    <row r="275" spans="1:257" ht="13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</row>
    <row r="276" spans="1:257" ht="13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</row>
    <row r="277" spans="1:257" ht="13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</row>
    <row r="278" spans="1:257" ht="13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</row>
    <row r="279" spans="1:257" ht="13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</row>
    <row r="280" spans="1:257" ht="13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</row>
    <row r="281" spans="1:257" ht="13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</row>
    <row r="282" spans="1:257" ht="13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</row>
    <row r="283" spans="1:257" ht="13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</row>
    <row r="284" spans="1:257" ht="13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</row>
    <row r="285" spans="1:257" ht="13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</row>
    <row r="286" spans="1:257" ht="13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</row>
    <row r="287" spans="1:257" ht="13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</row>
    <row r="288" spans="1:257" ht="13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</row>
    <row r="289" spans="1:257" ht="13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</row>
    <row r="290" spans="1:257" ht="13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</row>
    <row r="291" spans="1:257" ht="13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</row>
    <row r="292" spans="1:257" ht="13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</row>
    <row r="293" spans="1:257" ht="13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</row>
    <row r="294" spans="1:257" ht="13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</row>
    <row r="295" spans="1:257" ht="13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</row>
    <row r="296" spans="1:257" ht="13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</row>
    <row r="297" spans="1:257" ht="13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</row>
    <row r="298" spans="1:257" ht="13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</row>
    <row r="299" spans="1:257" ht="13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</row>
    <row r="300" spans="1:257" ht="13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</row>
    <row r="301" spans="1:257" ht="13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</row>
    <row r="302" spans="1:257" ht="13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</row>
    <row r="303" spans="1:257" ht="13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</row>
    <row r="304" spans="1:257" ht="13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</row>
    <row r="305" spans="1:257" ht="13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</row>
    <row r="306" spans="1:257" ht="13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</row>
    <row r="307" spans="1:257" ht="13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</row>
    <row r="308" spans="1:257" ht="13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</row>
    <row r="309" spans="1:257" ht="13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</row>
    <row r="310" spans="1:257" ht="13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</row>
    <row r="311" spans="1:257" ht="13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</row>
    <row r="312" spans="1:257" ht="13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</row>
    <row r="313" spans="1:257" ht="13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</row>
    <row r="314" spans="1:257" ht="13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</row>
    <row r="315" spans="1:257" ht="13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</row>
    <row r="316" spans="1:257" ht="13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</row>
    <row r="317" spans="1:257" ht="13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</row>
    <row r="318" spans="1:257" ht="13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</row>
    <row r="319" spans="1:257" ht="13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</row>
    <row r="320" spans="1:257" ht="13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</row>
    <row r="321" spans="1:257" ht="13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</row>
    <row r="322" spans="1:257" ht="13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</row>
    <row r="323" spans="1:257" ht="13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</row>
    <row r="324" spans="1:257" ht="13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</row>
    <row r="325" spans="1:257" ht="13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</row>
    <row r="326" spans="1:257" ht="13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</row>
    <row r="327" spans="1:257" ht="13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</row>
    <row r="328" spans="1:257" ht="13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</row>
    <row r="329" spans="1:257" ht="13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</row>
    <row r="330" spans="1:257" ht="13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</row>
    <row r="331" spans="1:257" ht="13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</row>
    <row r="332" spans="1:257" ht="13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</row>
    <row r="333" spans="1:257" ht="13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</row>
    <row r="334" spans="1:257" ht="13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</row>
    <row r="335" spans="1:257" ht="13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</row>
    <row r="336" spans="1:257" ht="13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</row>
    <row r="337" spans="1:257" ht="13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</row>
    <row r="338" spans="1:257" ht="13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</row>
    <row r="339" spans="1:257" ht="13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</row>
    <row r="340" spans="1:257" ht="13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</row>
    <row r="341" spans="1:257" ht="13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</row>
    <row r="342" spans="1:257" ht="13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</row>
    <row r="343" spans="1:257" ht="13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</row>
    <row r="344" spans="1:257" ht="13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</row>
    <row r="345" spans="1:257" ht="13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</row>
    <row r="346" spans="1:257" ht="13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</row>
    <row r="347" spans="1:257" ht="13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</row>
    <row r="348" spans="1:257" ht="13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</row>
    <row r="349" spans="1:257" ht="13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</row>
    <row r="350" spans="1:257" ht="13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</row>
    <row r="351" spans="1:257" ht="13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</row>
    <row r="352" spans="1:257" ht="13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</row>
    <row r="353" spans="1:257" ht="13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</row>
    <row r="354" spans="1:257" ht="13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</row>
    <row r="355" spans="1:257" ht="13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</row>
    <row r="356" spans="1:257" ht="13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</row>
    <row r="357" spans="1:257" ht="13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</row>
    <row r="358" spans="1:257" ht="13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</row>
    <row r="359" spans="1:257" ht="13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</row>
    <row r="360" spans="1:257" ht="13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</row>
    <row r="361" spans="1:257" ht="13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</row>
    <row r="362" spans="1:257" ht="13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</row>
    <row r="363" spans="1:257" ht="13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</row>
    <row r="364" spans="1:257" ht="13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</row>
    <row r="365" spans="1:257" ht="13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</row>
    <row r="366" spans="1:257" ht="13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</row>
    <row r="367" spans="1:257" ht="13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</row>
    <row r="368" spans="1:257" ht="13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</row>
    <row r="369" spans="1:257" ht="13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</row>
    <row r="370" spans="1:257" ht="13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</row>
    <row r="371" spans="1:257" ht="13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</row>
    <row r="372" spans="1:257" ht="13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</row>
    <row r="373" spans="1:257" ht="13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</row>
    <row r="374" spans="1:257" ht="13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</row>
    <row r="375" spans="1:257" ht="13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</row>
    <row r="376" spans="1:257" ht="13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</row>
    <row r="377" spans="1:257" ht="13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</row>
    <row r="378" spans="1:257" ht="13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</row>
    <row r="379" spans="1:257" ht="13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</row>
    <row r="380" spans="1:257" ht="13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</row>
    <row r="381" spans="1:257" ht="13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</row>
    <row r="382" spans="1:257" ht="13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</row>
    <row r="383" spans="1:257" ht="13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</row>
    <row r="384" spans="1:257" ht="13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</row>
    <row r="385" spans="1:281" ht="13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</row>
    <row r="386" spans="1:281" ht="13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</row>
    <row r="387" spans="1:281" ht="13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</row>
    <row r="388" spans="1:281" ht="13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</row>
    <row r="389" spans="1:281" ht="13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</row>
    <row r="390" spans="1:281" ht="13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</row>
    <row r="391" spans="1:281" ht="13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</row>
    <row r="392" spans="1:281" ht="13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</row>
    <row r="393" spans="1:281" ht="13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</row>
    <row r="394" spans="1:281" ht="13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</row>
    <row r="395" spans="1:281" ht="13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</row>
    <row r="396" spans="1:281" ht="13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</row>
    <row r="397" spans="1:281" ht="13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</row>
    <row r="398" spans="1:281" ht="13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</row>
    <row r="399" spans="1:281" ht="13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</row>
    <row r="400" spans="1:281" ht="13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</row>
    <row r="401" spans="1:281" ht="13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</row>
    <row r="402" spans="1:281" ht="13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</row>
    <row r="403" spans="1:281" ht="13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</row>
    <row r="404" spans="1:281" ht="13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</row>
    <row r="405" spans="1:281" ht="13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</row>
    <row r="406" spans="1:281" ht="13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</row>
    <row r="407" spans="1:281" ht="13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</row>
    <row r="408" spans="1:281" ht="13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</row>
    <row r="409" spans="1:281" ht="13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</row>
    <row r="410" spans="1:281" ht="13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</row>
    <row r="411" spans="1:281" ht="13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</row>
    <row r="412" spans="1:281" ht="13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</row>
    <row r="413" spans="1:281" ht="13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</row>
    <row r="414" spans="1:281" ht="13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</row>
    <row r="415" spans="1:281" ht="13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</row>
    <row r="416" spans="1:281" ht="13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</row>
    <row r="417" spans="1:281" ht="13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</row>
    <row r="418" spans="1:281" ht="13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</row>
    <row r="419" spans="1:281" ht="13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</row>
    <row r="420" spans="1:281" ht="13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</row>
    <row r="421" spans="1:281" ht="13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</row>
    <row r="422" spans="1:281" ht="13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</row>
    <row r="423" spans="1:281" ht="13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</row>
    <row r="424" spans="1:281" ht="13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</row>
    <row r="425" spans="1:281" ht="13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</row>
    <row r="426" spans="1:281" ht="13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</row>
    <row r="427" spans="1:281" ht="13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</row>
    <row r="428" spans="1:281" ht="13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</row>
    <row r="429" spans="1:281" ht="13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</row>
    <row r="430" spans="1:281" ht="13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</row>
    <row r="431" spans="1:281" ht="13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</row>
    <row r="432" spans="1:281" ht="13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</row>
    <row r="433" spans="1:281" ht="13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</row>
    <row r="434" spans="1:281" ht="13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</row>
    <row r="435" spans="1:281" ht="13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</row>
    <row r="436" spans="1:281" ht="13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</row>
    <row r="437" spans="1:281" ht="13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</row>
    <row r="438" spans="1:281" ht="13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</row>
    <row r="439" spans="1:281" ht="13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</row>
    <row r="440" spans="1:281" ht="13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</row>
    <row r="441" spans="1:281" ht="13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</row>
    <row r="442" spans="1:281" ht="13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</row>
    <row r="443" spans="1:281" ht="13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</row>
    <row r="444" spans="1:281" ht="13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</row>
    <row r="445" spans="1:281" ht="13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</row>
    <row r="446" spans="1:281" ht="13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</row>
    <row r="447" spans="1:281" ht="13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</row>
    <row r="448" spans="1:281" ht="13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</row>
    <row r="449" spans="1:281" ht="13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</row>
    <row r="450" spans="1:281" ht="13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</row>
    <row r="451" spans="1:281" ht="13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</row>
    <row r="452" spans="1:281" ht="13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</row>
    <row r="453" spans="1:281" ht="13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</row>
    <row r="454" spans="1:281" ht="13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</row>
    <row r="455" spans="1:281" ht="13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</row>
    <row r="456" spans="1:281" ht="13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</row>
    <row r="457" spans="1:281" ht="13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</row>
    <row r="458" spans="1:281" ht="13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</row>
    <row r="459" spans="1:281" ht="13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</row>
    <row r="460" spans="1:281" ht="13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</row>
    <row r="461" spans="1:281" ht="13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</row>
    <row r="462" spans="1:281" ht="13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</row>
    <row r="463" spans="1:281" ht="13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</row>
    <row r="464" spans="1:281" ht="13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</row>
    <row r="465" spans="1:281" ht="13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</row>
    <row r="466" spans="1:281" ht="13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</row>
    <row r="467" spans="1:281" ht="13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</row>
    <row r="468" spans="1:281" ht="13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</row>
    <row r="469" spans="1:281" ht="13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</row>
    <row r="470" spans="1:281" ht="13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</row>
    <row r="471" spans="1:281" ht="13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</row>
    <row r="472" spans="1:281" ht="13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</row>
    <row r="473" spans="1:281" ht="13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</row>
    <row r="474" spans="1:281" ht="13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</row>
    <row r="475" spans="1:281" ht="13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</row>
    <row r="476" spans="1:281" ht="13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</row>
    <row r="477" spans="1:281" ht="13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</row>
    <row r="478" spans="1:281" ht="13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</row>
    <row r="479" spans="1:281" ht="13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</row>
    <row r="480" spans="1:281" ht="13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</row>
    <row r="481" spans="1:281" ht="13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</row>
    <row r="482" spans="1:281" ht="13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</row>
    <row r="483" spans="1:281" ht="13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</row>
    <row r="484" spans="1:281" ht="13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</row>
    <row r="485" spans="1:281" ht="13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</row>
    <row r="486" spans="1:281" ht="13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</row>
    <row r="487" spans="1:281" ht="13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</row>
    <row r="488" spans="1:281" ht="13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</row>
    <row r="489" spans="1:281" ht="13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</row>
    <row r="490" spans="1:281" ht="13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</row>
    <row r="491" spans="1:281" ht="13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</row>
    <row r="492" spans="1:281" ht="13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</row>
    <row r="493" spans="1:281" ht="13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</row>
    <row r="494" spans="1:281" ht="13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</row>
    <row r="495" spans="1:281" ht="13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</row>
    <row r="496" spans="1:281" ht="13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</row>
    <row r="497" spans="1:281" ht="13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</row>
    <row r="498" spans="1:281" ht="13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</row>
    <row r="499" spans="1:281" ht="13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</row>
    <row r="500" spans="1:281" ht="13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</row>
    <row r="501" spans="1:281" ht="13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</row>
    <row r="502" spans="1:281" ht="13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</row>
    <row r="503" spans="1:281" ht="13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</row>
    <row r="504" spans="1:281" ht="13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</row>
    <row r="505" spans="1:281" ht="13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</row>
    <row r="506" spans="1:281" ht="13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</row>
    <row r="507" spans="1:281" ht="13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</row>
    <row r="508" spans="1:281" ht="13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</row>
    <row r="509" spans="1:281" ht="13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</row>
    <row r="510" spans="1:281" ht="13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</row>
    <row r="511" spans="1:281" ht="13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</row>
    <row r="512" spans="1:281" ht="13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</row>
    <row r="513" spans="1:281" ht="13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</row>
    <row r="514" spans="1:281" ht="13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</row>
    <row r="515" spans="1:281" ht="13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</row>
    <row r="516" spans="1:281" ht="13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</row>
    <row r="517" spans="1:281" ht="13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</row>
    <row r="518" spans="1:281" ht="13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</row>
    <row r="519" spans="1:281" ht="13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</row>
    <row r="520" spans="1:281" ht="13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</row>
    <row r="521" spans="1:281" ht="13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</row>
    <row r="522" spans="1:281" ht="13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</row>
    <row r="523" spans="1:281" ht="13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</row>
    <row r="524" spans="1:281" ht="13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</row>
    <row r="525" spans="1:281" ht="13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</row>
    <row r="526" spans="1:281" ht="13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</row>
    <row r="527" spans="1:281" ht="13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</row>
    <row r="528" spans="1:281" ht="13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</row>
    <row r="529" spans="1:281" ht="13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</row>
    <row r="530" spans="1:281" ht="13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</row>
    <row r="531" spans="1:281" ht="13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</row>
    <row r="532" spans="1:281" ht="13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</row>
    <row r="533" spans="1:281" ht="13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</row>
    <row r="534" spans="1:281" ht="13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</row>
    <row r="535" spans="1:281" ht="13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</row>
    <row r="536" spans="1:281" ht="13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</row>
    <row r="537" spans="1:281" ht="13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</row>
    <row r="538" spans="1:281" ht="13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</row>
    <row r="539" spans="1:281" ht="13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</row>
    <row r="540" spans="1:281" ht="13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</row>
    <row r="541" spans="1:281" ht="13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</row>
    <row r="542" spans="1:281" ht="13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</row>
    <row r="543" spans="1:281" ht="13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</row>
    <row r="544" spans="1:281" ht="13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</row>
    <row r="545" spans="1:281" ht="13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</row>
    <row r="546" spans="1:281" ht="13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</row>
    <row r="547" spans="1:281" ht="13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</row>
    <row r="548" spans="1:281" ht="13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</row>
    <row r="549" spans="1:281" ht="13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</row>
    <row r="550" spans="1:281" ht="13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</row>
    <row r="551" spans="1:281" ht="13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</row>
    <row r="552" spans="1:281" ht="13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</row>
    <row r="553" spans="1:281" ht="13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</row>
    <row r="554" spans="1:281" ht="13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</row>
    <row r="555" spans="1:281" ht="13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</row>
    <row r="556" spans="1:281" ht="13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</row>
    <row r="557" spans="1:281" ht="13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</row>
    <row r="558" spans="1:281" ht="13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</row>
    <row r="559" spans="1:281" ht="13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</row>
    <row r="560" spans="1:281" ht="13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</row>
    <row r="561" spans="1:281" ht="13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</row>
    <row r="562" spans="1:281" ht="13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</row>
    <row r="563" spans="1:281" ht="13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</row>
    <row r="564" spans="1:281" ht="13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</row>
    <row r="565" spans="1:281" ht="13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</row>
    <row r="566" spans="1:281" ht="13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</row>
    <row r="567" spans="1:281" ht="13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</row>
    <row r="568" spans="1:281" ht="13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</row>
    <row r="569" spans="1:281" ht="13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</row>
    <row r="570" spans="1:281" ht="13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</row>
    <row r="571" spans="1:281" ht="13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</row>
    <row r="572" spans="1:281" ht="13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</row>
    <row r="573" spans="1:281" ht="13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</row>
    <row r="574" spans="1:281" ht="13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</row>
    <row r="575" spans="1:281" ht="13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</row>
    <row r="576" spans="1:281" ht="13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</row>
    <row r="577" spans="1:281" ht="13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</row>
    <row r="578" spans="1:281" ht="13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</row>
    <row r="579" spans="1:281" ht="13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</row>
    <row r="580" spans="1:281" ht="13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</row>
    <row r="581" spans="1:281" ht="13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</row>
    <row r="582" spans="1:281" ht="13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</row>
    <row r="583" spans="1:281" ht="13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</row>
    <row r="584" spans="1:281" ht="13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</row>
    <row r="585" spans="1:281" ht="13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</row>
    <row r="586" spans="1:281" ht="13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</row>
    <row r="587" spans="1:281" ht="13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</row>
    <row r="588" spans="1:281" ht="13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</row>
    <row r="589" spans="1:281" ht="13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</row>
    <row r="590" spans="1:281" ht="13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</row>
    <row r="591" spans="1:281" ht="13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</row>
    <row r="592" spans="1:281" ht="13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</row>
    <row r="593" spans="1:281" ht="13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</row>
    <row r="594" spans="1:281" ht="13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</row>
    <row r="595" spans="1:281" ht="13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</row>
    <row r="596" spans="1:281" ht="13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</row>
    <row r="597" spans="1:281" ht="13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</row>
    <row r="598" spans="1:281" ht="13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</row>
    <row r="599" spans="1:281" ht="13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</row>
    <row r="600" spans="1:281" ht="13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</row>
    <row r="601" spans="1:281" ht="13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</row>
    <row r="602" spans="1:281" ht="13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</row>
    <row r="603" spans="1:281" ht="13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</row>
    <row r="604" spans="1:281" ht="13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</row>
    <row r="605" spans="1:281" ht="13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</row>
    <row r="606" spans="1:281" ht="13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</row>
    <row r="607" spans="1:281" ht="13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</row>
    <row r="608" spans="1:281" ht="13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</row>
    <row r="609" spans="1:281" ht="13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</row>
    <row r="610" spans="1:281" ht="13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</row>
    <row r="611" spans="1:281" ht="13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</row>
    <row r="612" spans="1:281" ht="13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</row>
    <row r="613" spans="1:281" ht="13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</row>
    <row r="614" spans="1:281" ht="13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</row>
    <row r="615" spans="1:281" ht="13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</row>
    <row r="616" spans="1:281" ht="13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</row>
    <row r="617" spans="1:281" ht="13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</row>
    <row r="618" spans="1:281" ht="13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</row>
    <row r="619" spans="1:281" ht="13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</row>
    <row r="620" spans="1:281" ht="13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</row>
    <row r="621" spans="1:281" ht="13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</row>
    <row r="622" spans="1:281" ht="13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</row>
    <row r="623" spans="1:281" ht="13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</row>
    <row r="624" spans="1:281" ht="13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</row>
    <row r="625" spans="1:281" ht="13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</row>
    <row r="626" spans="1:281" ht="13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</row>
    <row r="627" spans="1:281" ht="13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</row>
    <row r="628" spans="1:281" ht="13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</row>
    <row r="629" spans="1:281" ht="13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</row>
    <row r="630" spans="1:281" ht="13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</row>
    <row r="631" spans="1:281" ht="13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</row>
    <row r="632" spans="1:281" ht="13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</row>
    <row r="633" spans="1:281" ht="13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</row>
    <row r="634" spans="1:281" ht="13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</row>
    <row r="635" spans="1:281" ht="13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</row>
    <row r="636" spans="1:281" ht="13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</row>
    <row r="637" spans="1:281" ht="13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</row>
    <row r="638" spans="1:281" ht="13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</row>
    <row r="639" spans="1:281" ht="13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</row>
    <row r="640" spans="1:281" ht="13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</row>
    <row r="641" spans="1:281" ht="13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</row>
    <row r="642" spans="1:281" ht="13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</row>
    <row r="643" spans="1:281" ht="13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</row>
    <row r="644" spans="1:281" ht="13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</row>
    <row r="645" spans="1:281" ht="13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</row>
    <row r="646" spans="1:281" ht="13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</row>
    <row r="647" spans="1:281" ht="13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</row>
    <row r="648" spans="1:281" ht="13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</row>
    <row r="649" spans="1:281" ht="13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</row>
    <row r="650" spans="1:281" ht="13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</row>
    <row r="651" spans="1:281" ht="13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</row>
    <row r="652" spans="1:281" ht="13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</row>
    <row r="653" spans="1:281" ht="13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</row>
    <row r="654" spans="1:281" ht="13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</row>
    <row r="655" spans="1:281" ht="13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</row>
    <row r="656" spans="1:281" ht="13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</row>
    <row r="657" spans="1:281" ht="13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</row>
    <row r="658" spans="1:281" ht="13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</row>
    <row r="659" spans="1:281" ht="13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</row>
    <row r="660" spans="1:281" ht="13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</row>
    <row r="661" spans="1:281" ht="13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</row>
    <row r="662" spans="1:281" ht="13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</row>
    <row r="663" spans="1:281" ht="13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</row>
    <row r="664" spans="1:281" ht="13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</row>
    <row r="665" spans="1:281" ht="13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</row>
    <row r="666" spans="1:281" ht="13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</row>
    <row r="667" spans="1:281" ht="13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</row>
    <row r="668" spans="1:281" ht="13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</row>
    <row r="669" spans="1:281" ht="13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</row>
    <row r="670" spans="1:281" ht="13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</row>
    <row r="671" spans="1:281" ht="13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</row>
    <row r="672" spans="1:281" ht="13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</row>
    <row r="673" spans="1:281" ht="13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</row>
    <row r="674" spans="1:281" ht="13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</row>
    <row r="675" spans="1:281" ht="13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</row>
    <row r="676" spans="1:281" ht="13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</row>
    <row r="677" spans="1:281" ht="13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</row>
    <row r="678" spans="1:281" ht="13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</row>
    <row r="679" spans="1:281" ht="13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</row>
    <row r="680" spans="1:281" ht="13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</row>
    <row r="681" spans="1:281" ht="13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</row>
    <row r="682" spans="1:281" ht="13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</row>
    <row r="683" spans="1:281" ht="13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</row>
    <row r="684" spans="1:281" ht="13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</row>
    <row r="685" spans="1:281" ht="13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</row>
    <row r="686" spans="1:281" ht="13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</row>
    <row r="687" spans="1:281" ht="13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</row>
    <row r="688" spans="1:281" ht="13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</row>
    <row r="689" spans="1:281" ht="13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</row>
    <row r="690" spans="1:281" ht="13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</row>
    <row r="691" spans="1:281" ht="13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</row>
    <row r="692" spans="1:281" ht="13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</row>
    <row r="693" spans="1:281" ht="13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</row>
    <row r="694" spans="1:281" ht="13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</row>
    <row r="695" spans="1:281" ht="13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</row>
    <row r="696" spans="1:281" ht="13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</row>
    <row r="697" spans="1:281" ht="13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</row>
    <row r="698" spans="1:281" ht="13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</row>
    <row r="699" spans="1:281" ht="13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</row>
    <row r="700" spans="1:281" ht="13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</row>
    <row r="701" spans="1:281" ht="13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</row>
    <row r="702" spans="1:281" ht="13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</row>
    <row r="703" spans="1:281" ht="13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</row>
    <row r="704" spans="1:281" ht="13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</row>
    <row r="705" spans="1:281" ht="13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</row>
    <row r="706" spans="1:281" ht="13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</row>
    <row r="707" spans="1:281" ht="13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</row>
    <row r="708" spans="1:281" ht="13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</row>
    <row r="709" spans="1:281" ht="13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</row>
    <row r="710" spans="1:281" ht="13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</row>
    <row r="711" spans="1:281" ht="13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</row>
    <row r="712" spans="1:281" ht="13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</row>
    <row r="713" spans="1:281" ht="13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</row>
    <row r="714" spans="1:281" ht="13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</row>
    <row r="715" spans="1:281" ht="13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</row>
    <row r="716" spans="1:281" ht="13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</row>
    <row r="717" spans="1:281" ht="13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</row>
    <row r="718" spans="1:281" ht="13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</row>
    <row r="719" spans="1:281" ht="13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</row>
    <row r="720" spans="1:281" ht="13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</row>
    <row r="721" spans="1:281" ht="13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</row>
    <row r="722" spans="1:281" ht="13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</row>
    <row r="723" spans="1:281" ht="13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</row>
    <row r="724" spans="1:281" ht="13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</row>
    <row r="725" spans="1:281" ht="13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</row>
    <row r="726" spans="1:281" ht="13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</row>
    <row r="727" spans="1:281" ht="13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</row>
    <row r="728" spans="1:281" ht="13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</row>
    <row r="729" spans="1:281" ht="13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</row>
    <row r="730" spans="1:281" ht="13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</row>
    <row r="731" spans="1:281" ht="13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</row>
    <row r="732" spans="1:281" ht="13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</row>
    <row r="733" spans="1:281" ht="13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</row>
    <row r="734" spans="1:281" ht="13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</row>
    <row r="735" spans="1:281" ht="13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</row>
    <row r="736" spans="1:281" ht="13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</row>
    <row r="737" spans="1:281" ht="13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</row>
    <row r="738" spans="1:281" ht="13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</row>
    <row r="739" spans="1:281" ht="13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</row>
    <row r="740" spans="1:281" ht="13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</row>
    <row r="741" spans="1:281" ht="13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</row>
    <row r="742" spans="1:281" ht="13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</row>
    <row r="743" spans="1:281" ht="13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</row>
    <row r="744" spans="1:281" ht="13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</row>
    <row r="745" spans="1:281" ht="13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</row>
    <row r="746" spans="1:281" ht="13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</row>
    <row r="747" spans="1:281" ht="13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</row>
    <row r="748" spans="1:281" ht="13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</row>
    <row r="749" spans="1:281" ht="13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</row>
    <row r="750" spans="1:281" ht="13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</row>
    <row r="751" spans="1:281" ht="13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</row>
    <row r="752" spans="1:281" ht="13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</row>
    <row r="753" spans="1:281" ht="13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</row>
    <row r="754" spans="1:281" ht="13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</row>
    <row r="755" spans="1:281" ht="13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</row>
    <row r="756" spans="1:281" ht="13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</row>
    <row r="757" spans="1:281" ht="13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</row>
    <row r="758" spans="1:281" ht="13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</row>
    <row r="759" spans="1:281" ht="13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</row>
    <row r="760" spans="1:281" ht="13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</row>
    <row r="761" spans="1:281" ht="13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</row>
    <row r="762" spans="1:281" ht="13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</row>
    <row r="763" spans="1:281" ht="13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</row>
    <row r="764" spans="1:281" ht="13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</row>
    <row r="765" spans="1:281" ht="13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</row>
    <row r="766" spans="1:281" ht="13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</row>
    <row r="767" spans="1:281" ht="13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</row>
    <row r="768" spans="1:281" ht="13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</row>
    <row r="769" spans="1:281" ht="13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</row>
    <row r="770" spans="1:281" ht="13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</row>
    <row r="771" spans="1:281" ht="13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</row>
    <row r="772" spans="1:281" ht="13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</row>
    <row r="773" spans="1:281" ht="13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</row>
    <row r="774" spans="1:281" ht="13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</row>
    <row r="775" spans="1:281" ht="13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</row>
    <row r="776" spans="1:281" ht="13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</row>
    <row r="777" spans="1:281" ht="13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</row>
    <row r="778" spans="1:281" ht="13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</row>
    <row r="779" spans="1:281" ht="13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</row>
    <row r="780" spans="1:281" ht="13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</row>
    <row r="781" spans="1:281" ht="13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</row>
    <row r="782" spans="1:281" ht="13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</row>
    <row r="783" spans="1:281" ht="13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</row>
    <row r="784" spans="1:281" ht="13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</row>
    <row r="785" spans="1:281" ht="13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</row>
    <row r="786" spans="1:281" ht="13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</row>
    <row r="787" spans="1:281" ht="13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</row>
    <row r="788" spans="1:281" ht="13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</row>
    <row r="789" spans="1:281" ht="13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</row>
    <row r="790" spans="1:281" ht="13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</row>
    <row r="791" spans="1:281" ht="13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</row>
    <row r="792" spans="1:281" ht="13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</row>
    <row r="793" spans="1:281" ht="13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</row>
    <row r="794" spans="1:281" ht="13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</row>
    <row r="795" spans="1:281" ht="13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</row>
    <row r="796" spans="1:281" ht="13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</row>
    <row r="797" spans="1:281" ht="13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</row>
    <row r="798" spans="1:281" ht="13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</row>
    <row r="799" spans="1:281" ht="13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</row>
    <row r="800" spans="1:281" ht="13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</row>
    <row r="801" spans="1:281" ht="13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</row>
    <row r="802" spans="1:281" ht="13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</row>
    <row r="803" spans="1:281" ht="13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</row>
    <row r="804" spans="1:281" ht="13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</row>
    <row r="805" spans="1:281" ht="13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</row>
    <row r="806" spans="1:281" ht="13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</row>
    <row r="807" spans="1:281" ht="13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</row>
    <row r="808" spans="1:281" ht="13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</row>
    <row r="809" spans="1:281" ht="13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</row>
    <row r="810" spans="1:281" ht="13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</row>
    <row r="811" spans="1:281" ht="13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</row>
    <row r="812" spans="1:281" ht="13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</row>
    <row r="813" spans="1:281" ht="13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</row>
    <row r="814" spans="1:281" ht="13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</row>
    <row r="815" spans="1:281" ht="13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</row>
    <row r="816" spans="1:281" ht="13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</row>
    <row r="817" spans="1:281" ht="13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</row>
    <row r="818" spans="1:281" ht="13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</row>
    <row r="819" spans="1:281" ht="13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</row>
    <row r="820" spans="1:281" ht="13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</row>
    <row r="821" spans="1:281" ht="13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</row>
    <row r="822" spans="1:281" ht="13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</row>
    <row r="823" spans="1:281" ht="13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</row>
    <row r="824" spans="1:281" ht="13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</row>
    <row r="825" spans="1:281" ht="13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</row>
    <row r="826" spans="1:281" ht="13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</row>
    <row r="827" spans="1:281" ht="13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</row>
    <row r="828" spans="1:281" ht="13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</row>
    <row r="829" spans="1:281" ht="13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</row>
    <row r="830" spans="1:281" ht="13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</row>
    <row r="831" spans="1:281" ht="13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</row>
    <row r="832" spans="1:281" ht="13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</row>
    <row r="833" spans="1:281" ht="13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</row>
    <row r="834" spans="1:281" ht="13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</row>
    <row r="835" spans="1:281" ht="13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</row>
    <row r="836" spans="1:281" ht="13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</row>
    <row r="837" spans="1:281" ht="13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</row>
    <row r="838" spans="1:281" ht="13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</row>
    <row r="839" spans="1:281" ht="13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</row>
    <row r="840" spans="1:281" ht="13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</row>
    <row r="841" spans="1:281" ht="13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</row>
    <row r="842" spans="1:281" ht="13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</row>
    <row r="843" spans="1:281" ht="13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</row>
    <row r="844" spans="1:281" ht="13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</row>
    <row r="845" spans="1:281" ht="13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</row>
    <row r="846" spans="1:281" ht="13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</row>
    <row r="847" spans="1:281" ht="13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</row>
    <row r="848" spans="1:281" ht="13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</row>
    <row r="849" spans="1:281" ht="13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</row>
    <row r="850" spans="1:281" ht="13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</row>
    <row r="851" spans="1:281" ht="13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</row>
    <row r="852" spans="1:281" ht="13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</row>
    <row r="853" spans="1:281" ht="13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</row>
    <row r="854" spans="1:281" ht="13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</row>
    <row r="855" spans="1:281" ht="13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</row>
    <row r="856" spans="1:281" ht="13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</row>
    <row r="857" spans="1:281" ht="13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</row>
    <row r="858" spans="1:281" ht="13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</row>
    <row r="859" spans="1:281" ht="13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</row>
    <row r="860" spans="1:281" ht="13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</row>
    <row r="861" spans="1:281" ht="13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</row>
    <row r="862" spans="1:281" ht="13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</row>
    <row r="863" spans="1:281" ht="13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</row>
    <row r="864" spans="1:281" ht="13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</row>
    <row r="865" spans="1:281" ht="13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</row>
    <row r="866" spans="1:281" ht="13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</row>
    <row r="867" spans="1:281" ht="13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</row>
    <row r="868" spans="1:281" ht="13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</row>
    <row r="869" spans="1:281" ht="13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</row>
    <row r="870" spans="1:281" ht="13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</row>
    <row r="871" spans="1:281" ht="13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</row>
    <row r="872" spans="1:281" ht="13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</row>
    <row r="873" spans="1:281" ht="13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</row>
    <row r="874" spans="1:281" ht="13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</row>
    <row r="875" spans="1:281" ht="13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</row>
    <row r="876" spans="1:281" ht="13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</row>
    <row r="877" spans="1:281" ht="13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</row>
    <row r="878" spans="1:281" ht="13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</row>
    <row r="879" spans="1:281" ht="13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</row>
    <row r="880" spans="1:281" ht="13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</row>
    <row r="881" spans="1:281" ht="13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</row>
    <row r="882" spans="1:281" ht="13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</row>
    <row r="883" spans="1:281" ht="13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</row>
    <row r="884" spans="1:281" ht="13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</row>
    <row r="885" spans="1:281" ht="13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</row>
    <row r="886" spans="1:281" ht="13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</row>
    <row r="887" spans="1:281" ht="13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</row>
    <row r="888" spans="1:281" ht="13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</row>
    <row r="889" spans="1:281" ht="13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</row>
    <row r="890" spans="1:281" ht="13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</row>
    <row r="891" spans="1:281" ht="13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</row>
    <row r="892" spans="1:281" ht="13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</row>
    <row r="893" spans="1:281" ht="13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</row>
    <row r="894" spans="1:281" ht="13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</row>
    <row r="895" spans="1:281" ht="13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</row>
    <row r="896" spans="1:281" ht="13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</row>
    <row r="897" spans="1:281" ht="13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</row>
    <row r="898" spans="1:281" ht="13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</row>
    <row r="899" spans="1:281" ht="13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</row>
    <row r="900" spans="1:281" ht="13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</row>
    <row r="901" spans="1:281" ht="13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</row>
    <row r="902" spans="1:281" ht="13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</row>
    <row r="903" spans="1:281" ht="13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</row>
    <row r="904" spans="1:281" ht="13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</row>
    <row r="905" spans="1:281" ht="13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</row>
    <row r="906" spans="1:281" ht="13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</row>
    <row r="907" spans="1:281" ht="13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</row>
    <row r="908" spans="1:281" ht="13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</row>
    <row r="909" spans="1:281" ht="13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</row>
    <row r="910" spans="1:281" ht="13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</row>
    <row r="911" spans="1:281" ht="13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</row>
    <row r="912" spans="1:281" ht="13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</row>
    <row r="913" spans="1:281" ht="13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</row>
    <row r="914" spans="1:281" ht="13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</row>
    <row r="915" spans="1:281" ht="13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</row>
    <row r="916" spans="1:281" ht="13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</row>
    <row r="917" spans="1:281" ht="13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</row>
    <row r="918" spans="1:281" ht="13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</row>
    <row r="919" spans="1:281" ht="13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</row>
    <row r="920" spans="1:281" ht="13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</row>
    <row r="921" spans="1:281" ht="13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</row>
    <row r="922" spans="1:281" ht="13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</row>
    <row r="923" spans="1:281" ht="13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</row>
    <row r="924" spans="1:281" ht="13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</row>
    <row r="925" spans="1:281" ht="13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</row>
    <row r="926" spans="1:281" ht="13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</row>
    <row r="927" spans="1:281" ht="13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</row>
    <row r="928" spans="1:281" ht="13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</row>
    <row r="929" spans="1:281" ht="13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</row>
    <row r="930" spans="1:281" ht="13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</row>
    <row r="931" spans="1:281" ht="13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</row>
    <row r="932" spans="1:281" ht="13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</row>
    <row r="933" spans="1:281" ht="13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</row>
    <row r="934" spans="1:281" ht="13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</row>
    <row r="935" spans="1:281" ht="13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</row>
    <row r="936" spans="1:281" ht="13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</row>
    <row r="937" spans="1:281" ht="13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</row>
    <row r="938" spans="1:281" ht="13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</row>
    <row r="939" spans="1:281" ht="13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</row>
    <row r="940" spans="1:281" ht="13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</row>
    <row r="941" spans="1:281" ht="13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</row>
    <row r="942" spans="1:281" ht="13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</row>
    <row r="943" spans="1:281" ht="13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</row>
    <row r="944" spans="1:281" ht="13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</row>
    <row r="945" spans="1:281" ht="13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</row>
    <row r="946" spans="1:281" ht="13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</row>
    <row r="947" spans="1:281" ht="13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</row>
    <row r="948" spans="1:281" ht="13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</row>
    <row r="949" spans="1:281" ht="13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</row>
    <row r="950" spans="1:281" ht="13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</row>
    <row r="951" spans="1:281" ht="13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</row>
    <row r="952" spans="1:281" ht="13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</row>
    <row r="953" spans="1:281" ht="13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</row>
    <row r="954" spans="1:281" ht="13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</row>
    <row r="955" spans="1:281" ht="13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</row>
    <row r="956" spans="1:281" ht="13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</row>
    <row r="957" spans="1:281" ht="13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</row>
    <row r="958" spans="1:281" ht="13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</row>
    <row r="959" spans="1:281" ht="13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</row>
    <row r="960" spans="1:281" ht="13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</row>
    <row r="961" spans="1:281" ht="13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</row>
    <row r="962" spans="1:281" ht="13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</row>
    <row r="963" spans="1:281" ht="13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</row>
    <row r="964" spans="1:281" ht="13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</row>
    <row r="965" spans="1:281" ht="13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</row>
    <row r="966" spans="1:281" ht="13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</row>
    <row r="967" spans="1:281" ht="13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</row>
    <row r="968" spans="1:281" ht="13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</row>
    <row r="969" spans="1:281" ht="13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</row>
    <row r="970" spans="1:281" ht="13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</row>
    <row r="971" spans="1:281" ht="13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</row>
    <row r="972" spans="1:281" ht="13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</row>
    <row r="973" spans="1:281" ht="13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</row>
    <row r="974" spans="1:281" ht="13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</row>
    <row r="975" spans="1:281" ht="13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</row>
    <row r="976" spans="1:281" ht="13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</row>
    <row r="977" spans="1:281" ht="13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</row>
    <row r="978" spans="1:281" ht="13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</row>
    <row r="979" spans="1:281" ht="13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</row>
    <row r="980" spans="1:281" ht="13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</row>
    <row r="981" spans="1:281" ht="13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</row>
    <row r="982" spans="1:281" ht="13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</row>
    <row r="983" spans="1:281" ht="13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</row>
    <row r="984" spans="1:281" ht="13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</row>
    <row r="985" spans="1:281" ht="13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</row>
    <row r="986" spans="1:281" ht="13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</row>
    <row r="987" spans="1:281" ht="13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</row>
    <row r="988" spans="1:281" ht="13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</row>
    <row r="989" spans="1:281" ht="13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</row>
    <row r="990" spans="1:281" ht="13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</row>
    <row r="991" spans="1:281" ht="13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</row>
    <row r="992" spans="1:281" ht="13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</row>
    <row r="993" spans="1:281" ht="13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</row>
    <row r="994" spans="1:281" ht="13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</row>
    <row r="995" spans="1:281" ht="13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</row>
    <row r="996" spans="1:281" ht="13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</row>
    <row r="997" spans="1:281" ht="13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</row>
    <row r="998" spans="1:281" ht="13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</row>
    <row r="999" spans="1:281" ht="13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</row>
    <row r="1000" spans="1:281" ht="13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</row>
    <row r="1001" spans="1:281" ht="13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</row>
    <row r="1002" spans="1:281" ht="13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</row>
    <row r="1003" spans="1:281" ht="13.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</row>
    <row r="1004" spans="1:281" ht="13.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</row>
    <row r="1005" spans="1:281" ht="13.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</row>
    <row r="1006" spans="1:281" ht="13.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</row>
    <row r="1007" spans="1:281" ht="13.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</row>
    <row r="1008" spans="1:281" ht="13.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</row>
    <row r="1009" spans="1:281" ht="13.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</row>
    <row r="1010" spans="1:281" ht="13.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</row>
    <row r="1011" spans="1:281" ht="13.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</row>
    <row r="1012" spans="1:281" ht="13.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</row>
    <row r="1013" spans="1:281" ht="13.5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</row>
    <row r="1014" spans="1:281" ht="13.5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</row>
    <row r="1015" spans="1:281" ht="13.5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</row>
    <row r="1016" spans="1:281" ht="13.5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</row>
    <row r="1017" spans="1:281" ht="13.5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</row>
    <row r="1018" spans="1:281" ht="13.5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</row>
    <row r="1019" spans="1:281" ht="13.5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</row>
    <row r="1020" spans="1:281" ht="13.5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</row>
    <row r="1021" spans="1:281" ht="13.5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</row>
    <row r="1022" spans="1:281" ht="13.5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</row>
    <row r="1023" spans="1:281" ht="13.5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</row>
    <row r="1024" spans="1:281" ht="13.5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</row>
    <row r="1025" spans="1:281" ht="13.5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</row>
    <row r="1026" spans="1:281" ht="13.5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</row>
    <row r="1027" spans="1:281" ht="13.5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</row>
    <row r="1028" spans="1:281" ht="13.5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</row>
    <row r="1029" spans="1:281" ht="13.5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</row>
    <row r="1030" spans="1:281" ht="13.5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</row>
    <row r="1031" spans="1:281" ht="13.5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</row>
    <row r="1032" spans="1:281" ht="13.5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</row>
    <row r="1033" spans="1:281" ht="13.5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</row>
    <row r="1034" spans="1:281" ht="13.5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</row>
    <row r="1035" spans="1:281" ht="13.5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</row>
    <row r="1036" spans="1:281" ht="13.5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</row>
    <row r="1037" spans="1:281" ht="13.5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</row>
    <row r="1038" spans="1:281" ht="13.5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</row>
    <row r="1039" spans="1:281" ht="13.5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</row>
    <row r="1040" spans="1:281" ht="13.5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</row>
    <row r="1041" spans="1:281" ht="13.5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</row>
    <row r="1042" spans="1:281" ht="13.5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</row>
    <row r="1043" spans="1:281" ht="13.5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</row>
    <row r="1044" spans="1:281" ht="13.5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</row>
    <row r="1045" spans="1:281" ht="13.5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</row>
    <row r="1046" spans="1:281" ht="13.5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</row>
    <row r="1047" spans="1:281" ht="13.5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</row>
    <row r="1048" spans="1:281" ht="13.5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</row>
    <row r="1049" spans="1:281" ht="13.5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</row>
    <row r="1050" spans="1:281" ht="13.5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</row>
    <row r="1051" spans="1:281" ht="13.5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</row>
    <row r="1052" spans="1:281" ht="13.5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</row>
    <row r="1053" spans="1:281" ht="13.5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</row>
    <row r="1054" spans="1:281" ht="13.5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</row>
    <row r="1055" spans="1:281" ht="13.5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</row>
    <row r="1056" spans="1:281" ht="13.5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</row>
    <row r="1057" spans="1:281" ht="13.5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</row>
    <row r="1058" spans="1:281" ht="13.5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</row>
    <row r="1059" spans="1:281" ht="13.5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</row>
    <row r="1060" spans="1:281" ht="13.5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</row>
    <row r="1061" spans="1:281" ht="13.5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</row>
    <row r="1062" spans="1:281" ht="13.5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</row>
    <row r="1063" spans="1:281" ht="13.5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</row>
    <row r="1064" spans="1:281" ht="13.5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</row>
    <row r="1065" spans="1:281" ht="13.5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</row>
    <row r="1066" spans="1:281" ht="13.5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</row>
    <row r="1067" spans="1:281" ht="13.5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</row>
    <row r="1068" spans="1:281" ht="13.5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</row>
    <row r="1069" spans="1:281" ht="13.5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</row>
    <row r="1070" spans="1:281" ht="13.5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</row>
    <row r="1071" spans="1:281" ht="13.5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</row>
    <row r="1072" spans="1:281" ht="13.5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</row>
    <row r="1073" spans="1:281" ht="13.5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</row>
    <row r="1074" spans="1:281" ht="13.5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</row>
    <row r="1075" spans="1:281" ht="13.5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</row>
    <row r="1076" spans="1:281" ht="13.5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</row>
    <row r="1077" spans="1:281" ht="13.5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</row>
    <row r="1078" spans="1:281" ht="13.5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</row>
  </sheetData>
  <mergeCells count="4">
    <mergeCell ref="S6:V6"/>
    <mergeCell ref="K6:M6"/>
    <mergeCell ref="W6:Z6"/>
    <mergeCell ref="N6:R6"/>
  </mergeCells>
  <conditionalFormatting sqref="D28 D8:D22">
    <cfRule type="containsText" dxfId="138" priority="180" operator="containsText" text="Not Started">
      <formula>NOT(ISERROR(SEARCH("Not Started",D8)))</formula>
    </cfRule>
    <cfRule type="containsText" dxfId="137" priority="179" operator="containsText" text="In Progress">
      <formula>NOT(ISERROR(SEARCH("In Progress",D8)))</formula>
    </cfRule>
    <cfRule type="containsText" dxfId="136" priority="178" operator="containsText" text="Complete">
      <formula>NOT(ISERROR(SEARCH("Complete",D8)))</formula>
    </cfRule>
    <cfRule type="containsText" dxfId="135" priority="177" operator="containsText" text="On Hold">
      <formula>NOT(ISERROR(SEARCH("On Hold",D8)))</formula>
    </cfRule>
  </conditionalFormatting>
  <conditionalFormatting sqref="D9:D13">
    <cfRule type="cellIs" dxfId="134" priority="176" operator="equal">
      <formula>"Completo"</formula>
    </cfRule>
    <cfRule type="cellIs" dxfId="133" priority="175" operator="equal">
      <formula>"No Iniciado"</formula>
    </cfRule>
    <cfRule type="cellIs" dxfId="132" priority="174" operator="equal">
      <formula>"En Progreso"</formula>
    </cfRule>
    <cfRule type="cellIs" dxfId="131" priority="173" operator="equal">
      <formula>"En Espera"</formula>
    </cfRule>
  </conditionalFormatting>
  <conditionalFormatting sqref="D15:D18">
    <cfRule type="cellIs" dxfId="130" priority="105" operator="equal">
      <formula>"En Espera"</formula>
    </cfRule>
    <cfRule type="cellIs" dxfId="129" priority="106" operator="equal">
      <formula>"En Progreso"</formula>
    </cfRule>
    <cfRule type="cellIs" dxfId="128" priority="107" operator="equal">
      <formula>"No Iniciado"</formula>
    </cfRule>
    <cfRule type="cellIs" dxfId="127" priority="108" operator="equal">
      <formula>"Completo"</formula>
    </cfRule>
  </conditionalFormatting>
  <conditionalFormatting sqref="D20:D22">
    <cfRule type="cellIs" dxfId="126" priority="168" operator="equal">
      <formula>"Completo"</formula>
    </cfRule>
    <cfRule type="cellIs" dxfId="125" priority="167" operator="equal">
      <formula>"No Iniciado"</formula>
    </cfRule>
    <cfRule type="cellIs" dxfId="124" priority="166" operator="equal">
      <formula>"En Progreso"</formula>
    </cfRule>
    <cfRule type="cellIs" dxfId="123" priority="165" operator="equal">
      <formula>"En Espera"</formula>
    </cfRule>
  </conditionalFormatting>
  <conditionalFormatting sqref="D28">
    <cfRule type="cellIs" dxfId="122" priority="161" operator="equal">
      <formula>"En Espera"</formula>
    </cfRule>
    <cfRule type="cellIs" dxfId="121" priority="162" operator="equal">
      <formula>"En Progreso"</formula>
    </cfRule>
    <cfRule type="cellIs" dxfId="120" priority="163" operator="equal">
      <formula>"No Iniciado"</formula>
    </cfRule>
    <cfRule type="cellIs" dxfId="119" priority="164" operator="equal">
      <formula>"Completo"</formula>
    </cfRule>
  </conditionalFormatting>
  <conditionalFormatting sqref="D30">
    <cfRule type="containsText" dxfId="118" priority="136" operator="containsText" text="Not Started">
      <formula>NOT(ISERROR(SEARCH("Not Started",D30)))</formula>
    </cfRule>
    <cfRule type="containsText" dxfId="117" priority="135" operator="containsText" text="In Progress">
      <formula>NOT(ISERROR(SEARCH("In Progress",D30)))</formula>
    </cfRule>
    <cfRule type="containsText" dxfId="116" priority="134" operator="containsText" text="Complete">
      <formula>NOT(ISERROR(SEARCH("Complete",D30)))</formula>
    </cfRule>
  </conditionalFormatting>
  <conditionalFormatting sqref="D30">
    <cfRule type="containsText" dxfId="115" priority="125" operator="containsText" text="On Hold">
      <formula>NOT(ISERROR(SEARCH("On Hold",D30)))</formula>
    </cfRule>
    <cfRule type="cellIs" dxfId="114" priority="124" operator="equal">
      <formula>"Completo"</formula>
    </cfRule>
    <cfRule type="cellIs" dxfId="113" priority="123" operator="equal">
      <formula>"No Iniciado"</formula>
    </cfRule>
    <cfRule type="cellIs" dxfId="112" priority="122" operator="equal">
      <formula>"En Progreso"</formula>
    </cfRule>
    <cfRule type="cellIs" dxfId="111" priority="121" operator="equal">
      <formula>"En Espera"</formula>
    </cfRule>
  </conditionalFormatting>
  <conditionalFormatting sqref="J8:J11">
    <cfRule type="containsText" dxfId="107" priority="189" stopIfTrue="1" operator="containsText" text="On Hold">
      <formula>NOT(ISERROR(SEARCH("On Hold",J8)))</formula>
    </cfRule>
    <cfRule type="containsText" dxfId="106" priority="190" operator="containsText" text="Complete">
      <formula>NOT(ISERROR(SEARCH("Complete",J8)))</formula>
    </cfRule>
    <cfRule type="containsText" dxfId="105" priority="191" operator="containsText" text="In Progress">
      <formula>NOT(ISERROR(SEARCH("In Progress",J8)))</formula>
    </cfRule>
    <cfRule type="containsText" dxfId="104" priority="192" operator="containsText" text="Not Started">
      <formula>NOT(ISERROR(SEARCH("Not Started",J8)))</formula>
    </cfRule>
  </conditionalFormatting>
  <conditionalFormatting sqref="D23:D24">
    <cfRule type="containsText" dxfId="103" priority="101" operator="containsText" text="On Hold">
      <formula>NOT(ISERROR(SEARCH("On Hold",D23)))</formula>
    </cfRule>
    <cfRule type="containsText" dxfId="102" priority="102" operator="containsText" text="Complete">
      <formula>NOT(ISERROR(SEARCH("Complete",D23)))</formula>
    </cfRule>
    <cfRule type="containsText" dxfId="101" priority="103" operator="containsText" text="In Progress">
      <formula>NOT(ISERROR(SEARCH("In Progress",D23)))</formula>
    </cfRule>
    <cfRule type="containsText" dxfId="100" priority="104" operator="containsText" text="Not Started">
      <formula>NOT(ISERROR(SEARCH("Not Started",D23)))</formula>
    </cfRule>
  </conditionalFormatting>
  <conditionalFormatting sqref="D23:D24">
    <cfRule type="cellIs" dxfId="99" priority="97" operator="equal">
      <formula>"En Espera"</formula>
    </cfRule>
    <cfRule type="cellIs" dxfId="98" priority="98" operator="equal">
      <formula>"En Progreso"</formula>
    </cfRule>
    <cfRule type="cellIs" dxfId="97" priority="99" operator="equal">
      <formula>"No Iniciado"</formula>
    </cfRule>
    <cfRule type="cellIs" dxfId="96" priority="100" operator="equal">
      <formula>"Completo"</formula>
    </cfRule>
  </conditionalFormatting>
  <conditionalFormatting sqref="D25">
    <cfRule type="containsText" dxfId="95" priority="93" operator="containsText" text="On Hold">
      <formula>NOT(ISERROR(SEARCH("On Hold",D25)))</formula>
    </cfRule>
    <cfRule type="containsText" dxfId="94" priority="94" operator="containsText" text="Complete">
      <formula>NOT(ISERROR(SEARCH("Complete",D25)))</formula>
    </cfRule>
    <cfRule type="containsText" dxfId="93" priority="95" operator="containsText" text="In Progress">
      <formula>NOT(ISERROR(SEARCH("In Progress",D25)))</formula>
    </cfRule>
    <cfRule type="containsText" dxfId="92" priority="96" operator="containsText" text="Not Started">
      <formula>NOT(ISERROR(SEARCH("Not Started",D25)))</formula>
    </cfRule>
  </conditionalFormatting>
  <conditionalFormatting sqref="D25">
    <cfRule type="cellIs" dxfId="91" priority="89" operator="equal">
      <formula>"En Espera"</formula>
    </cfRule>
    <cfRule type="cellIs" dxfId="90" priority="90" operator="equal">
      <formula>"En Progreso"</formula>
    </cfRule>
    <cfRule type="cellIs" dxfId="89" priority="91" operator="equal">
      <formula>"No Iniciado"</formula>
    </cfRule>
    <cfRule type="cellIs" dxfId="88" priority="92" operator="equal">
      <formula>"Completo"</formula>
    </cfRule>
  </conditionalFormatting>
  <conditionalFormatting sqref="D26">
    <cfRule type="containsText" dxfId="87" priority="85" operator="containsText" text="On Hold">
      <formula>NOT(ISERROR(SEARCH("On Hold",D26)))</formula>
    </cfRule>
    <cfRule type="containsText" dxfId="86" priority="86" operator="containsText" text="Complete">
      <formula>NOT(ISERROR(SEARCH("Complete",D26)))</formula>
    </cfRule>
    <cfRule type="containsText" dxfId="85" priority="87" operator="containsText" text="In Progress">
      <formula>NOT(ISERROR(SEARCH("In Progress",D26)))</formula>
    </cfRule>
    <cfRule type="containsText" dxfId="84" priority="88" operator="containsText" text="Not Started">
      <formula>NOT(ISERROR(SEARCH("Not Started",D26)))</formula>
    </cfRule>
  </conditionalFormatting>
  <conditionalFormatting sqref="D26">
    <cfRule type="cellIs" dxfId="83" priority="81" operator="equal">
      <formula>"En Espera"</formula>
    </cfRule>
    <cfRule type="cellIs" dxfId="82" priority="82" operator="equal">
      <formula>"En Progreso"</formula>
    </cfRule>
    <cfRule type="cellIs" dxfId="81" priority="83" operator="equal">
      <formula>"No Iniciado"</formula>
    </cfRule>
    <cfRule type="cellIs" dxfId="80" priority="84" operator="equal">
      <formula>"Completo"</formula>
    </cfRule>
  </conditionalFormatting>
  <conditionalFormatting sqref="D27">
    <cfRule type="containsText" dxfId="79" priority="77" operator="containsText" text="On Hold">
      <formula>NOT(ISERROR(SEARCH("On Hold",D27)))</formula>
    </cfRule>
    <cfRule type="containsText" dxfId="78" priority="78" operator="containsText" text="Complete">
      <formula>NOT(ISERROR(SEARCH("Complete",D27)))</formula>
    </cfRule>
    <cfRule type="containsText" dxfId="77" priority="79" operator="containsText" text="In Progress">
      <formula>NOT(ISERROR(SEARCH("In Progress",D27)))</formula>
    </cfRule>
    <cfRule type="containsText" dxfId="76" priority="80" operator="containsText" text="Not Started">
      <formula>NOT(ISERROR(SEARCH("Not Started",D27)))</formula>
    </cfRule>
  </conditionalFormatting>
  <conditionalFormatting sqref="D27">
    <cfRule type="cellIs" dxfId="75" priority="73" operator="equal">
      <formula>"En Espera"</formula>
    </cfRule>
    <cfRule type="cellIs" dxfId="74" priority="74" operator="equal">
      <formula>"En Progreso"</formula>
    </cfRule>
    <cfRule type="cellIs" dxfId="73" priority="75" operator="equal">
      <formula>"No Iniciado"</formula>
    </cfRule>
    <cfRule type="cellIs" dxfId="72" priority="76" operator="equal">
      <formula>"Completo"</formula>
    </cfRule>
  </conditionalFormatting>
  <conditionalFormatting sqref="D29">
    <cfRule type="containsText" dxfId="71" priority="69" operator="containsText" text="On Hold">
      <formula>NOT(ISERROR(SEARCH("On Hold",D29)))</formula>
    </cfRule>
    <cfRule type="containsText" dxfId="70" priority="70" operator="containsText" text="Complete">
      <formula>NOT(ISERROR(SEARCH("Complete",D29)))</formula>
    </cfRule>
    <cfRule type="containsText" dxfId="69" priority="71" operator="containsText" text="In Progress">
      <formula>NOT(ISERROR(SEARCH("In Progress",D29)))</formula>
    </cfRule>
    <cfRule type="containsText" dxfId="68" priority="72" operator="containsText" text="Not Started">
      <formula>NOT(ISERROR(SEARCH("Not Started",D29)))</formula>
    </cfRule>
  </conditionalFormatting>
  <conditionalFormatting sqref="D29">
    <cfRule type="cellIs" dxfId="67" priority="65" operator="equal">
      <formula>"En Espera"</formula>
    </cfRule>
    <cfRule type="cellIs" dxfId="66" priority="66" operator="equal">
      <formula>"En Progreso"</formula>
    </cfRule>
    <cfRule type="cellIs" dxfId="65" priority="67" operator="equal">
      <formula>"No Iniciado"</formula>
    </cfRule>
    <cfRule type="cellIs" dxfId="64" priority="68" operator="equal">
      <formula>"Completo"</formula>
    </cfRule>
  </conditionalFormatting>
  <conditionalFormatting sqref="D19">
    <cfRule type="cellIs" dxfId="39" priority="37" operator="equal">
      <formula>"En Espera"</formula>
    </cfRule>
    <cfRule type="cellIs" dxfId="38" priority="38" operator="equal">
      <formula>"En Progreso"</formula>
    </cfRule>
    <cfRule type="cellIs" dxfId="37" priority="39" operator="equal">
      <formula>"No Iniciado"</formula>
    </cfRule>
    <cfRule type="cellIs" dxfId="36" priority="40" operator="equal">
      <formula>"Completo"</formula>
    </cfRule>
  </conditionalFormatting>
  <conditionalFormatting sqref="D31">
    <cfRule type="containsText" dxfId="32" priority="33" operator="containsText" text="On Hold">
      <formula>NOT(ISERROR(SEARCH("On Hold",D31)))</formula>
    </cfRule>
    <cfRule type="containsText" dxfId="33" priority="34" operator="containsText" text="Complete">
      <formula>NOT(ISERROR(SEARCH("Complete",D31)))</formula>
    </cfRule>
    <cfRule type="containsText" dxfId="34" priority="35" operator="containsText" text="In Progress">
      <formula>NOT(ISERROR(SEARCH("In Progress",D31)))</formula>
    </cfRule>
    <cfRule type="containsText" dxfId="35" priority="36" operator="containsText" text="Not Started">
      <formula>NOT(ISERROR(SEARCH("Not Started",D31)))</formula>
    </cfRule>
  </conditionalFormatting>
  <conditionalFormatting sqref="D31">
    <cfRule type="cellIs" dxfId="31" priority="29" operator="equal">
      <formula>"En Espera"</formula>
    </cfRule>
    <cfRule type="cellIs" dxfId="30" priority="30" operator="equal">
      <formula>"En Progreso"</formula>
    </cfRule>
    <cfRule type="cellIs" dxfId="29" priority="31" operator="equal">
      <formula>"No Iniciado"</formula>
    </cfRule>
    <cfRule type="cellIs" dxfId="28" priority="32" operator="equal">
      <formula>"Completo"</formula>
    </cfRule>
  </conditionalFormatting>
  <conditionalFormatting sqref="D32">
    <cfRule type="containsText" dxfId="24" priority="25" operator="containsText" text="On Hold">
      <formula>NOT(ISERROR(SEARCH("On Hold",D32)))</formula>
    </cfRule>
    <cfRule type="containsText" dxfId="25" priority="26" operator="containsText" text="Complete">
      <formula>NOT(ISERROR(SEARCH("Complete",D32)))</formula>
    </cfRule>
    <cfRule type="containsText" dxfId="26" priority="27" operator="containsText" text="In Progress">
      <formula>NOT(ISERROR(SEARCH("In Progress",D32)))</formula>
    </cfRule>
    <cfRule type="containsText" dxfId="27" priority="28" operator="containsText" text="Not Started">
      <formula>NOT(ISERROR(SEARCH("Not Started",D32)))</formula>
    </cfRule>
  </conditionalFormatting>
  <conditionalFormatting sqref="D32">
    <cfRule type="cellIs" dxfId="23" priority="21" operator="equal">
      <formula>"En Espera"</formula>
    </cfRule>
    <cfRule type="cellIs" dxfId="22" priority="22" operator="equal">
      <formula>"En Progreso"</formula>
    </cfRule>
    <cfRule type="cellIs" dxfId="21" priority="23" operator="equal">
      <formula>"No Iniciado"</formula>
    </cfRule>
    <cfRule type="cellIs" dxfId="20" priority="24" operator="equal">
      <formula>"Completo"</formula>
    </cfRule>
  </conditionalFormatting>
  <conditionalFormatting sqref="D33">
    <cfRule type="containsText" dxfId="16" priority="17" operator="containsText" text="On Hold">
      <formula>NOT(ISERROR(SEARCH("On Hold",D33)))</formula>
    </cfRule>
    <cfRule type="containsText" dxfId="17" priority="18" operator="containsText" text="Complete">
      <formula>NOT(ISERROR(SEARCH("Complete",D33)))</formula>
    </cfRule>
    <cfRule type="containsText" dxfId="18" priority="19" operator="containsText" text="In Progress">
      <formula>NOT(ISERROR(SEARCH("In Progress",D33)))</formula>
    </cfRule>
    <cfRule type="containsText" dxfId="19" priority="20" operator="containsText" text="Not Started">
      <formula>NOT(ISERROR(SEARCH("Not Started",D33)))</formula>
    </cfRule>
  </conditionalFormatting>
  <conditionalFormatting sqref="D33">
    <cfRule type="cellIs" dxfId="15" priority="13" operator="equal">
      <formula>"En Espera"</formula>
    </cfRule>
    <cfRule type="cellIs" dxfId="14" priority="14" operator="equal">
      <formula>"En Progreso"</formula>
    </cfRule>
    <cfRule type="cellIs" dxfId="13" priority="15" operator="equal">
      <formula>"No Iniciado"</formula>
    </cfRule>
    <cfRule type="cellIs" dxfId="12" priority="16" operator="equal">
      <formula>"Completo"</formula>
    </cfRule>
  </conditionalFormatting>
  <conditionalFormatting sqref="D34">
    <cfRule type="containsText" dxfId="8" priority="9" operator="containsText" text="On Hold">
      <formula>NOT(ISERROR(SEARCH("On Hold",D34)))</formula>
    </cfRule>
    <cfRule type="containsText" dxfId="9" priority="10" operator="containsText" text="Complete">
      <formula>NOT(ISERROR(SEARCH("Complete",D34)))</formula>
    </cfRule>
    <cfRule type="containsText" dxfId="10" priority="11" operator="containsText" text="In Progress">
      <formula>NOT(ISERROR(SEARCH("In Progress",D34)))</formula>
    </cfRule>
    <cfRule type="containsText" dxfId="11" priority="12" operator="containsText" text="Not Started">
      <formula>NOT(ISERROR(SEARCH("Not Started",D34)))</formula>
    </cfRule>
  </conditionalFormatting>
  <conditionalFormatting sqref="D34">
    <cfRule type="cellIs" dxfId="7" priority="5" operator="equal">
      <formula>"En Espera"</formula>
    </cfRule>
    <cfRule type="cellIs" dxfId="6" priority="6" operator="equal">
      <formula>"En Progreso"</formula>
    </cfRule>
    <cfRule type="cellIs" dxfId="5" priority="7" operator="equal">
      <formula>"No Iniciado"</formula>
    </cfRule>
    <cfRule type="cellIs" dxfId="4" priority="8" operator="equal">
      <formula>"Completo"</formula>
    </cfRule>
  </conditionalFormatting>
  <conditionalFormatting sqref="D22">
    <cfRule type="cellIs" dxfId="3" priority="1" operator="equal">
      <formula>"En Espera"</formula>
    </cfRule>
    <cfRule type="cellIs" dxfId="2" priority="2" operator="equal">
      <formula>"En Progreso"</formula>
    </cfRule>
    <cfRule type="cellIs" dxfId="1" priority="3" operator="equal">
      <formula>"No Iniciado"</formula>
    </cfRule>
    <cfRule type="cellIs" dxfId="0" priority="4" operator="equal">
      <formula>"Completo"</formula>
    </cfRule>
  </conditionalFormatting>
  <dataValidations count="1">
    <dataValidation type="list" allowBlank="1" showInputMessage="1" showErrorMessage="1" sqref="D8:D34" xr:uid="{00000000-0002-0000-0000-000000000000}">
      <formula1>$J$8:$J$11</formula1>
    </dataValidation>
  </dataValidations>
  <pageMargins left="0.3" right="0.3" top="0.3" bottom="0.3" header="0" footer="0"/>
  <pageSetup scale="70" fitToHeight="0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Example - Project Plan Template</vt:lpstr>
      <vt:lpstr>'Example - Project Plan Template'!Área_de_impresión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Salas Didacticas Sede Bogota</cp:lastModifiedBy>
  <dcterms:created xsi:type="dcterms:W3CDTF">2015-02-24T20:54:23Z</dcterms:created>
  <dcterms:modified xsi:type="dcterms:W3CDTF">2026-06-06T17:26:51Z</dcterms:modified>
</cp:coreProperties>
</file>